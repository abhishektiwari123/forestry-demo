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ool Costs INR" sheetId="2" state="visible" r:id="rId2"/>
    <sheet name="Comparison" sheetId="3" state="visible" r:id="rId3"/>
    <sheet name="Year-by-Year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11"/>
    </font>
    <font>
      <b val="1"/>
      <sz val="11"/>
    </font>
    <font>
      <i val="1"/>
    </font>
    <font>
      <i val="1"/>
      <sz val="12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366"/>
        <bgColor rgb="00FFB3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1" pivotButton="0" quotePrefix="0" xfId="0"/>
    <xf numFmtId="164" fontId="3" fillId="5" borderId="1" pivotButton="0" quotePrefix="0" xfId="0"/>
    <xf numFmtId="164" fontId="0" fillId="3" borderId="1" pivotButton="0" quotePrefix="0" xfId="0"/>
    <xf numFmtId="0" fontId="3" fillId="6" borderId="1" pivotButton="0" quotePrefix="0" xfId="0"/>
    <xf numFmtId="0" fontId="0" fillId="0" borderId="4" pivotButton="0" quotePrefix="0" xfId="0"/>
    <xf numFmtId="164" fontId="0" fillId="6" borderId="1" pivotButton="0" quotePrefix="0" xfId="0"/>
    <xf numFmtId="164" fontId="3" fillId="6" borderId="1" pivotButton="0" quotePrefix="0" xfId="0"/>
    <xf numFmtId="0" fontId="0" fillId="0" borderId="5" pivotButton="0" quotePrefix="0" xfId="0"/>
    <xf numFmtId="0" fontId="3" fillId="5" borderId="1" pivotButton="0" quotePrefix="0" xfId="0"/>
    <xf numFmtId="164" fontId="0" fillId="0" borderId="1" pivotButton="0" quotePrefix="0" xfId="0"/>
    <xf numFmtId="4" fontId="3" fillId="6" borderId="1" pivotButton="0" quotePrefix="0" xfId="0"/>
    <xf numFmtId="164" fontId="0" fillId="5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</cols>
  <sheetData>
    <row r="1">
      <c r="A1" s="1" t="inlineStr">
        <is>
          <t>MARTECH 5-YEAR COST MODEL - INDIA PRICING (₹)</t>
        </is>
      </c>
    </row>
    <row r="2">
      <c r="A2" s="2" t="inlineStr">
        <is>
          <t>⚠️ Change YELLOW cells to update all calculations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Number of Contacts/Profiles</t>
        </is>
      </c>
      <c r="B5" s="5" t="n">
        <v>1000000</v>
      </c>
      <c r="C5" s="4" t="inlineStr">
        <is>
          <t>contacts</t>
        </is>
      </c>
      <c r="D5" s="4" t="inlineStr">
        <is>
          <t>Base contact volume (1M default) - CONFIGURABLE</t>
        </is>
      </c>
    </row>
    <row r="6">
      <c r="A6" s="4" t="inlineStr">
        <is>
          <t>Contact Growth Rate</t>
        </is>
      </c>
      <c r="B6" s="6" t="n">
        <v>0.15</v>
      </c>
      <c r="C6" s="4" t="inlineStr">
        <is>
          <t>%</t>
        </is>
      </c>
      <c r="D6" s="4" t="inlineStr">
        <is>
          <t>Annual contact growth (15%)</t>
        </is>
      </c>
    </row>
    <row r="7">
      <c r="A7" s="4" t="inlineStr">
        <is>
          <t>Tool Subscription Escalation</t>
        </is>
      </c>
      <c r="B7" s="6" t="n">
        <v>0.05</v>
      </c>
      <c r="C7" s="4" t="inlineStr">
        <is>
          <t>%</t>
        </is>
      </c>
      <c r="D7" s="4" t="inlineStr">
        <is>
          <t>Annual tool cost increase (5%)</t>
        </is>
      </c>
    </row>
    <row r="8">
      <c r="A8" s="4" t="inlineStr">
        <is>
          <t>Data Storage Growth</t>
        </is>
      </c>
      <c r="B8" s="6" t="n">
        <v>0.15</v>
      </c>
      <c r="C8" s="4" t="inlineStr">
        <is>
          <t>%</t>
        </is>
      </c>
      <c r="D8" s="4" t="inlineStr">
        <is>
          <t>Annual data growth (15%)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MARTECH STACK - TOOL-WISE COST (INDIA PRICING ₹)</t>
        </is>
      </c>
    </row>
    <row r="2">
      <c r="A2" s="7" t="inlineStr">
        <is>
          <t>Based on 1M contacts - India vendor pricing</t>
        </is>
      </c>
    </row>
    <row r="4">
      <c r="A4" s="8" t="inlineStr">
        <is>
          <t>1. CDP (Customer Data Platform)</t>
        </is>
      </c>
    </row>
    <row r="5">
      <c r="A5" s="3" t="inlineStr"/>
      <c r="B5" s="3" t="inlineStr"/>
      <c r="C5" s="3" t="inlineStr">
        <is>
          <t>LOW (₹)</t>
        </is>
      </c>
      <c r="D5" s="3" t="inlineStr">
        <is>
          <t>MID (₹)</t>
        </is>
      </c>
      <c r="E5" s="3" t="inlineStr">
        <is>
          <t>HIGH (₹)</t>
        </is>
      </c>
    </row>
    <row r="6">
      <c r="A6" s="9" t="inlineStr">
        <is>
          <t>One time implementation cost</t>
        </is>
      </c>
      <c r="C6" s="10">
        <f>C7</f>
        <v/>
      </c>
      <c r="D6" s="10">
        <f>D7</f>
        <v/>
      </c>
      <c r="E6" s="10">
        <f>E7</f>
        <v/>
      </c>
    </row>
    <row r="7">
      <c r="A7" s="4" t="inlineStr">
        <is>
          <t xml:space="preserve">   Ext. resources (Consultant/SI Partner)</t>
        </is>
      </c>
      <c r="C7" s="11" t="n">
        <v>850000</v>
      </c>
      <c r="D7" s="11" t="n">
        <v>2800000</v>
      </c>
      <c r="E7" s="11" t="n">
        <v>4780000</v>
      </c>
    </row>
    <row r="8">
      <c r="A8" s="9" t="inlineStr">
        <is>
          <t>Recurring cost per year</t>
        </is>
      </c>
      <c r="C8" s="10">
        <f>SUM(C9:C12)</f>
        <v/>
      </c>
      <c r="D8" s="10">
        <f>SUM(D9:D12)</f>
        <v/>
      </c>
      <c r="E8" s="10">
        <f>SUM(E9:E12)</f>
        <v/>
      </c>
    </row>
    <row r="9">
      <c r="A9" s="4" t="inlineStr">
        <is>
          <t xml:space="preserve">   Annual subscription fee</t>
        </is>
      </c>
      <c r="C9" s="11" t="n">
        <v>725000</v>
      </c>
      <c r="D9" s="11" t="n">
        <v>2100000</v>
      </c>
      <c r="E9" s="11" t="n">
        <v>4200000</v>
      </c>
    </row>
    <row r="10">
      <c r="A10" s="4" t="inlineStr">
        <is>
          <t xml:space="preserve">   Recurring data cost</t>
        </is>
      </c>
      <c r="C10" s="11" t="n">
        <v>172800</v>
      </c>
      <c r="D10" s="11" t="n">
        <v>560000</v>
      </c>
      <c r="E10" s="11" t="n">
        <v>1267200</v>
      </c>
    </row>
    <row r="11">
      <c r="A11" s="4" t="inlineStr">
        <is>
          <t xml:space="preserve">   User license fee</t>
        </is>
      </c>
      <c r="C11" s="11" t="n">
        <v>21000</v>
      </c>
      <c r="D11" s="11" t="n">
        <v>63000</v>
      </c>
      <c r="E11" s="11" t="n">
        <v>126000</v>
      </c>
    </row>
    <row r="12">
      <c r="A12" s="4" t="inlineStr">
        <is>
          <t xml:space="preserve">   Maintenance</t>
        </is>
      </c>
      <c r="C12" s="11" t="n">
        <v>30000</v>
      </c>
      <c r="D12" s="11" t="n">
        <v>90000</v>
      </c>
      <c r="E12" s="11" t="n">
        <v>150000</v>
      </c>
    </row>
    <row r="14">
      <c r="A14" s="8" t="inlineStr">
        <is>
          <t>2. CMP (Campaign Management Platform)</t>
        </is>
      </c>
    </row>
    <row r="15">
      <c r="A15" s="3" t="inlineStr"/>
      <c r="B15" s="3" t="inlineStr"/>
      <c r="C15" s="3" t="inlineStr">
        <is>
          <t>LOW (₹)</t>
        </is>
      </c>
      <c r="D15" s="3" t="inlineStr">
        <is>
          <t>MID (₹)</t>
        </is>
      </c>
      <c r="E15" s="3" t="inlineStr">
        <is>
          <t>HIGH (₹)</t>
        </is>
      </c>
    </row>
    <row r="16">
      <c r="A16" s="9" t="inlineStr">
        <is>
          <t>One time implementation cost</t>
        </is>
      </c>
      <c r="C16" s="10">
        <f>C17</f>
        <v/>
      </c>
      <c r="D16" s="10">
        <f>D17</f>
        <v/>
      </c>
      <c r="E16" s="10">
        <f>E17</f>
        <v/>
      </c>
    </row>
    <row r="17">
      <c r="A17" s="4" t="inlineStr">
        <is>
          <t xml:space="preserve">   Ext. resources (Consultant/SI Partner)</t>
        </is>
      </c>
      <c r="C17" s="11" t="n">
        <v>850000</v>
      </c>
      <c r="D17" s="11" t="n">
        <v>2800000</v>
      </c>
      <c r="E17" s="11" t="n">
        <v>4940000</v>
      </c>
    </row>
    <row r="18">
      <c r="A18" s="9" t="inlineStr">
        <is>
          <t>Recurring cost per year</t>
        </is>
      </c>
      <c r="C18" s="10">
        <f>SUM(C19:C23)</f>
        <v/>
      </c>
      <c r="D18" s="10">
        <f>SUM(D19:D23)</f>
        <v/>
      </c>
      <c r="E18" s="10">
        <f>SUM(E19:E23)</f>
        <v/>
      </c>
    </row>
    <row r="19">
      <c r="A19" s="4" t="inlineStr">
        <is>
          <t xml:space="preserve">   Annual subscription fee</t>
        </is>
      </c>
      <c r="C19" s="11" t="n">
        <v>725000</v>
      </c>
      <c r="D19" s="11" t="n">
        <v>2450000</v>
      </c>
      <c r="E19" s="11" t="n">
        <v>4900000</v>
      </c>
    </row>
    <row r="20">
      <c r="A20" s="4" t="inlineStr">
        <is>
          <t xml:space="preserve">   Recurring data cost</t>
        </is>
      </c>
      <c r="C20" s="11" t="n">
        <v>172800</v>
      </c>
      <c r="D20" s="11" t="n">
        <v>560000</v>
      </c>
      <c r="E20" s="11" t="n">
        <v>1267200</v>
      </c>
    </row>
    <row r="21">
      <c r="A21" s="4" t="inlineStr">
        <is>
          <t xml:space="preserve">   User license fee</t>
        </is>
      </c>
      <c r="C21" s="11" t="n">
        <v>21000</v>
      </c>
      <c r="D21" s="11" t="n">
        <v>63000</v>
      </c>
      <c r="E21" s="11" t="n">
        <v>126000</v>
      </c>
    </row>
    <row r="22">
      <c r="A22" s="4" t="inlineStr">
        <is>
          <t xml:space="preserve">   Maintenance</t>
        </is>
      </c>
      <c r="C22" s="11" t="n">
        <v>30000</v>
      </c>
      <c r="D22" s="11" t="n">
        <v>90000</v>
      </c>
      <c r="E22" s="11" t="n">
        <v>150000</v>
      </c>
    </row>
    <row r="23">
      <c r="A23" s="4" t="inlineStr">
        <is>
          <t xml:space="preserve">   Campaign SMS cost</t>
        </is>
      </c>
      <c r="C23" s="11" t="n">
        <v>0</v>
      </c>
      <c r="D23" s="11" t="n">
        <v>500000</v>
      </c>
      <c r="E23" s="11" t="n">
        <v>1591392</v>
      </c>
    </row>
    <row r="25">
      <c r="A25" s="8" t="inlineStr">
        <is>
          <t>3. CMS (Content Management System)</t>
        </is>
      </c>
    </row>
    <row r="26">
      <c r="A26" s="3" t="inlineStr"/>
      <c r="B26" s="3" t="inlineStr"/>
      <c r="C26" s="3" t="inlineStr">
        <is>
          <t>LOW (₹)</t>
        </is>
      </c>
      <c r="D26" s="3" t="inlineStr">
        <is>
          <t>MID (₹)</t>
        </is>
      </c>
      <c r="E26" s="3" t="inlineStr">
        <is>
          <t>HIGH (₹)</t>
        </is>
      </c>
    </row>
    <row r="27">
      <c r="A27" s="9" t="inlineStr">
        <is>
          <t>One time implementation cost</t>
        </is>
      </c>
      <c r="C27" s="10">
        <f>C28</f>
        <v/>
      </c>
      <c r="D27" s="10">
        <f>D28</f>
        <v/>
      </c>
      <c r="E27" s="10">
        <f>E28</f>
        <v/>
      </c>
    </row>
    <row r="28">
      <c r="A28" s="4" t="inlineStr">
        <is>
          <t xml:space="preserve">   Ext. resources (Consultant/SI Partner)</t>
        </is>
      </c>
      <c r="C28" s="11" t="n">
        <v>450000</v>
      </c>
      <c r="D28" s="11" t="n">
        <v>1500000</v>
      </c>
      <c r="E28" s="11" t="n">
        <v>2864000</v>
      </c>
    </row>
    <row r="29">
      <c r="A29" s="9" t="inlineStr">
        <is>
          <t>Recurring cost per year</t>
        </is>
      </c>
      <c r="C29" s="10">
        <f>SUM(C30:C33)</f>
        <v/>
      </c>
      <c r="D29" s="10">
        <f>SUM(D30:D33)</f>
        <v/>
      </c>
      <c r="E29" s="10">
        <f>SUM(E30:E33)</f>
        <v/>
      </c>
    </row>
    <row r="30">
      <c r="A30" s="4" t="inlineStr">
        <is>
          <t xml:space="preserve">   Annual subscription fee</t>
        </is>
      </c>
      <c r="C30" s="11" t="n">
        <v>225000</v>
      </c>
      <c r="D30" s="11" t="n">
        <v>1050000</v>
      </c>
      <c r="E30" s="11" t="n">
        <v>2100000</v>
      </c>
    </row>
    <row r="31">
      <c r="A31" s="4" t="inlineStr">
        <is>
          <t xml:space="preserve">   Recurring data cost</t>
        </is>
      </c>
      <c r="C31" s="11" t="n">
        <v>28800</v>
      </c>
      <c r="D31" s="11" t="n">
        <v>280000</v>
      </c>
      <c r="E31" s="11" t="n">
        <v>760320</v>
      </c>
    </row>
    <row r="32">
      <c r="A32" s="4" t="inlineStr">
        <is>
          <t xml:space="preserve">   User license fee</t>
        </is>
      </c>
      <c r="C32" s="11" t="n">
        <v>6000</v>
      </c>
      <c r="D32" s="11" t="n">
        <v>42000</v>
      </c>
      <c r="E32" s="11" t="n">
        <v>84000</v>
      </c>
    </row>
    <row r="33">
      <c r="A33" s="4" t="inlineStr">
        <is>
          <t xml:space="preserve">   Maintenance</t>
        </is>
      </c>
      <c r="C33" s="11" t="n">
        <v>5000</v>
      </c>
      <c r="D33" s="11" t="n">
        <v>35000</v>
      </c>
      <c r="E33" s="11" t="n">
        <v>70000</v>
      </c>
    </row>
    <row r="35">
      <c r="A35" s="8" t="inlineStr">
        <is>
          <t>4. Experimentation Tool (A/B Testing)</t>
        </is>
      </c>
    </row>
    <row r="36">
      <c r="A36" s="3" t="inlineStr"/>
      <c r="B36" s="3" t="inlineStr"/>
      <c r="C36" s="3" t="inlineStr">
        <is>
          <t>LOW (₹)</t>
        </is>
      </c>
      <c r="D36" s="3" t="inlineStr">
        <is>
          <t>MID (₹)</t>
        </is>
      </c>
      <c r="E36" s="3" t="inlineStr">
        <is>
          <t>HIGH (₹)</t>
        </is>
      </c>
    </row>
    <row r="37">
      <c r="A37" s="9" t="inlineStr">
        <is>
          <t>One time implementation cost</t>
        </is>
      </c>
      <c r="C37" s="10">
        <f>C38</f>
        <v/>
      </c>
      <c r="D37" s="10">
        <f>D38</f>
        <v/>
      </c>
      <c r="E37" s="10">
        <f>E38</f>
        <v/>
      </c>
    </row>
    <row r="38">
      <c r="A38" s="4" t="inlineStr">
        <is>
          <t xml:space="preserve">   Ext. resources (Consultant/SI Partner)</t>
        </is>
      </c>
      <c r="C38" s="11" t="n">
        <v>50000</v>
      </c>
      <c r="D38" s="11" t="n">
        <v>500000</v>
      </c>
      <c r="E38" s="11" t="n">
        <v>1660000</v>
      </c>
    </row>
    <row r="39">
      <c r="A39" s="9" t="inlineStr">
        <is>
          <t>Recurring cost per year</t>
        </is>
      </c>
      <c r="C39" s="10">
        <f>SUM(C40:C43)</f>
        <v/>
      </c>
      <c r="D39" s="10">
        <f>SUM(D40:D43)</f>
        <v/>
      </c>
      <c r="E39" s="10">
        <f>SUM(E40:E43)</f>
        <v/>
      </c>
    </row>
    <row r="40">
      <c r="A40" s="4" t="inlineStr">
        <is>
          <t xml:space="preserve">   Annual subscription fee</t>
        </is>
      </c>
      <c r="C40" s="11" t="n">
        <v>50000</v>
      </c>
      <c r="D40" s="11" t="n">
        <v>525000</v>
      </c>
      <c r="E40" s="11" t="n">
        <v>1050000</v>
      </c>
    </row>
    <row r="41">
      <c r="A41" s="4" t="inlineStr">
        <is>
          <t xml:space="preserve">   Recurring data cost</t>
        </is>
      </c>
      <c r="C41" s="11" t="n">
        <v>28800</v>
      </c>
      <c r="D41" s="11" t="n">
        <v>280000</v>
      </c>
      <c r="E41" s="11" t="n">
        <v>760320</v>
      </c>
    </row>
    <row r="42">
      <c r="A42" s="4" t="inlineStr">
        <is>
          <t xml:space="preserve">   User license fee</t>
        </is>
      </c>
      <c r="C42" s="11" t="n">
        <v>3000</v>
      </c>
      <c r="D42" s="11" t="n">
        <v>21000</v>
      </c>
      <c r="E42" s="11" t="n">
        <v>42000</v>
      </c>
    </row>
    <row r="43">
      <c r="A43" s="4" t="inlineStr">
        <is>
          <t xml:space="preserve">   Maintenance</t>
        </is>
      </c>
      <c r="C43" s="11" t="n">
        <v>5000</v>
      </c>
      <c r="D43" s="11" t="n">
        <v>35000</v>
      </c>
      <c r="E43" s="11" t="n">
        <v>70000</v>
      </c>
    </row>
    <row r="45">
      <c r="A45" s="8" t="inlineStr">
        <is>
          <t>5. Orchestration Tool (Journey Builder)</t>
        </is>
      </c>
    </row>
    <row r="46">
      <c r="A46" s="3" t="inlineStr"/>
      <c r="B46" s="3" t="inlineStr"/>
      <c r="C46" s="3" t="inlineStr">
        <is>
          <t>LOW (₹)</t>
        </is>
      </c>
      <c r="D46" s="3" t="inlineStr">
        <is>
          <t>MID (₹)</t>
        </is>
      </c>
      <c r="E46" s="3" t="inlineStr">
        <is>
          <t>HIGH (₹)</t>
        </is>
      </c>
    </row>
    <row r="47">
      <c r="A47" s="9" t="inlineStr">
        <is>
          <t>One time implementation cost</t>
        </is>
      </c>
      <c r="C47" s="10">
        <f>C48</f>
        <v/>
      </c>
      <c r="D47" s="10">
        <f>D48</f>
        <v/>
      </c>
      <c r="E47" s="10">
        <f>E48</f>
        <v/>
      </c>
    </row>
    <row r="48">
      <c r="A48" s="4" t="inlineStr">
        <is>
          <t xml:space="preserve">   Ext. resources (Consultant/SI Partner)</t>
        </is>
      </c>
      <c r="C48" s="11" t="n">
        <v>100000</v>
      </c>
      <c r="D48" s="11" t="n">
        <v>1000000</v>
      </c>
      <c r="E48" s="11" t="n">
        <v>3820000</v>
      </c>
    </row>
    <row r="49">
      <c r="A49" s="9" t="inlineStr">
        <is>
          <t>Recurring cost per year</t>
        </is>
      </c>
      <c r="C49" s="10">
        <f>SUM(C50:C53)</f>
        <v/>
      </c>
      <c r="D49" s="10">
        <f>SUM(D50:D53)</f>
        <v/>
      </c>
      <c r="E49" s="10">
        <f>SUM(E50:E53)</f>
        <v/>
      </c>
    </row>
    <row r="50">
      <c r="A50" s="4" t="inlineStr">
        <is>
          <t xml:space="preserve">   Annual subscription fee</t>
        </is>
      </c>
      <c r="C50" s="11" t="n">
        <v>150000</v>
      </c>
      <c r="D50" s="11" t="n">
        <v>1575000</v>
      </c>
      <c r="E50" s="11" t="n">
        <v>3150000</v>
      </c>
    </row>
    <row r="51">
      <c r="A51" s="4" t="inlineStr">
        <is>
          <t xml:space="preserve">   Recurring data cost</t>
        </is>
      </c>
      <c r="C51" s="11" t="n">
        <v>28800</v>
      </c>
      <c r="D51" s="11" t="n">
        <v>280000</v>
      </c>
      <c r="E51" s="11" t="n">
        <v>760320</v>
      </c>
    </row>
    <row r="52">
      <c r="A52" s="4" t="inlineStr">
        <is>
          <t xml:space="preserve">   User license fee</t>
        </is>
      </c>
      <c r="C52" s="11" t="n">
        <v>3000</v>
      </c>
      <c r="D52" s="11" t="n">
        <v>21000</v>
      </c>
      <c r="E52" s="11" t="n">
        <v>42000</v>
      </c>
    </row>
    <row r="53">
      <c r="A53" s="4" t="inlineStr">
        <is>
          <t xml:space="preserve">   Maintenance</t>
        </is>
      </c>
      <c r="C53" s="11" t="n">
        <v>5000</v>
      </c>
      <c r="D53" s="11" t="n">
        <v>35000</v>
      </c>
      <c r="E53" s="11" t="n">
        <v>70000</v>
      </c>
    </row>
    <row r="55">
      <c r="A55" s="8" t="inlineStr">
        <is>
          <t>6. Web/App Analytics</t>
        </is>
      </c>
    </row>
    <row r="56">
      <c r="A56" s="3" t="inlineStr"/>
      <c r="B56" s="3" t="inlineStr"/>
      <c r="C56" s="3" t="inlineStr">
        <is>
          <t>LOW (₹)</t>
        </is>
      </c>
      <c r="D56" s="3" t="inlineStr">
        <is>
          <t>MID (₹)</t>
        </is>
      </c>
      <c r="E56" s="3" t="inlineStr">
        <is>
          <t>HIGH (₹)</t>
        </is>
      </c>
    </row>
    <row r="57">
      <c r="A57" s="9" t="inlineStr">
        <is>
          <t>One time implementation cost</t>
        </is>
      </c>
      <c r="C57" s="10">
        <f>C58</f>
        <v/>
      </c>
      <c r="D57" s="10">
        <f>D58</f>
        <v/>
      </c>
      <c r="E57" s="10">
        <f>E58</f>
        <v/>
      </c>
    </row>
    <row r="58">
      <c r="A58" s="4" t="inlineStr">
        <is>
          <t xml:space="preserve">   Ext. resources (Consultant/SI Partner)</t>
        </is>
      </c>
      <c r="C58" s="11" t="n">
        <v>100000</v>
      </c>
      <c r="D58" s="11" t="n">
        <v>1000000</v>
      </c>
      <c r="E58" s="11" t="n">
        <v>3820000</v>
      </c>
    </row>
    <row r="59">
      <c r="A59" s="9" t="inlineStr">
        <is>
          <t>Recurring cost per year</t>
        </is>
      </c>
      <c r="C59" s="10">
        <f>SUM(C60:C63)</f>
        <v/>
      </c>
      <c r="D59" s="10">
        <f>SUM(D60:D63)</f>
        <v/>
      </c>
      <c r="E59" s="10">
        <f>SUM(E60:E63)</f>
        <v/>
      </c>
    </row>
    <row r="60">
      <c r="A60" s="4" t="inlineStr">
        <is>
          <t xml:space="preserve">   Annual subscription fee</t>
        </is>
      </c>
      <c r="C60" s="11" t="n">
        <v>200000</v>
      </c>
      <c r="D60" s="11" t="n">
        <v>2100000</v>
      </c>
      <c r="E60" s="11" t="n">
        <v>4200000</v>
      </c>
    </row>
    <row r="61">
      <c r="A61" s="4" t="inlineStr">
        <is>
          <t xml:space="preserve">   Recurring data cost</t>
        </is>
      </c>
      <c r="C61" s="11" t="n">
        <v>0</v>
      </c>
      <c r="D61" s="11" t="n">
        <v>0</v>
      </c>
      <c r="E61" s="11" t="n">
        <v>0</v>
      </c>
    </row>
    <row r="62">
      <c r="A62" s="4" t="inlineStr">
        <is>
          <t xml:space="preserve">   User license fee</t>
        </is>
      </c>
      <c r="C62" s="11" t="n">
        <v>3000</v>
      </c>
      <c r="D62" s="11" t="n">
        <v>21000</v>
      </c>
      <c r="E62" s="11" t="n">
        <v>42000</v>
      </c>
    </row>
    <row r="63">
      <c r="A63" s="4" t="inlineStr">
        <is>
          <t xml:space="preserve">   Maintenance</t>
        </is>
      </c>
      <c r="C63" s="11" t="n">
        <v>5000</v>
      </c>
      <c r="D63" s="11" t="n">
        <v>35000</v>
      </c>
      <c r="E63" s="11" t="n">
        <v>70000</v>
      </c>
    </row>
    <row r="65">
      <c r="A65" s="8" t="inlineStr">
        <is>
          <t>7. Mobile Measurement Platform (MMP)</t>
        </is>
      </c>
    </row>
    <row r="66">
      <c r="A66" s="3" t="inlineStr"/>
      <c r="B66" s="3" t="inlineStr"/>
      <c r="C66" s="3" t="inlineStr">
        <is>
          <t>LOW (₹)</t>
        </is>
      </c>
      <c r="D66" s="3" t="inlineStr">
        <is>
          <t>MID (₹)</t>
        </is>
      </c>
      <c r="E66" s="3" t="inlineStr">
        <is>
          <t>HIGH (₹)</t>
        </is>
      </c>
    </row>
    <row r="67">
      <c r="A67" s="9" t="inlineStr">
        <is>
          <t>One time implementation cost</t>
        </is>
      </c>
      <c r="C67" s="10">
        <f>C68</f>
        <v/>
      </c>
      <c r="D67" s="10">
        <f>D68</f>
        <v/>
      </c>
      <c r="E67" s="10">
        <f>E68</f>
        <v/>
      </c>
    </row>
    <row r="68">
      <c r="A68" s="4" t="inlineStr">
        <is>
          <t xml:space="preserve">   Ext. resources (Consultant/SI Partner)</t>
        </is>
      </c>
      <c r="C68" s="11" t="n">
        <v>100000</v>
      </c>
      <c r="D68" s="11" t="n">
        <v>500000</v>
      </c>
      <c r="E68" s="11" t="n">
        <v>3320000</v>
      </c>
    </row>
    <row r="69">
      <c r="A69" s="9" t="inlineStr">
        <is>
          <t>Recurring cost per year</t>
        </is>
      </c>
      <c r="C69" s="10">
        <f>SUM(C70:C73)</f>
        <v/>
      </c>
      <c r="D69" s="10">
        <f>SUM(D70:D73)</f>
        <v/>
      </c>
      <c r="E69" s="10">
        <f>SUM(E70:E73)</f>
        <v/>
      </c>
    </row>
    <row r="70">
      <c r="A70" s="4" t="inlineStr">
        <is>
          <t xml:space="preserve">   Annual subscription fee</t>
        </is>
      </c>
      <c r="C70" s="11" t="n">
        <v>35000</v>
      </c>
      <c r="D70" s="11" t="n">
        <v>525000</v>
      </c>
      <c r="E70" s="11" t="n">
        <v>1050000</v>
      </c>
    </row>
    <row r="71">
      <c r="A71" s="4" t="inlineStr">
        <is>
          <t xml:space="preserve">   Recurring data cost</t>
        </is>
      </c>
      <c r="C71" s="11" t="n">
        <v>7200</v>
      </c>
      <c r="D71" s="11" t="n">
        <v>140000</v>
      </c>
      <c r="E71" s="11" t="n">
        <v>360000</v>
      </c>
    </row>
    <row r="72">
      <c r="A72" s="4" t="inlineStr">
        <is>
          <t xml:space="preserve">   User license fee</t>
        </is>
      </c>
      <c r="C72" s="11" t="n">
        <v>3000</v>
      </c>
      <c r="D72" s="11" t="n">
        <v>21000</v>
      </c>
      <c r="E72" s="11" t="n">
        <v>42000</v>
      </c>
    </row>
    <row r="73">
      <c r="A73" s="4" t="inlineStr">
        <is>
          <t xml:space="preserve">   Maintenance</t>
        </is>
      </c>
      <c r="C73" s="11" t="n">
        <v>5000</v>
      </c>
      <c r="D73" s="11" t="n">
        <v>35000</v>
      </c>
      <c r="E73" s="11" t="n">
        <v>70000</v>
      </c>
    </row>
    <row r="75">
      <c r="A75" s="8" t="inlineStr">
        <is>
          <t>8. Social Management Tool</t>
        </is>
      </c>
    </row>
    <row r="76">
      <c r="A76" s="3" t="inlineStr"/>
      <c r="B76" s="3" t="inlineStr"/>
      <c r="C76" s="3" t="inlineStr">
        <is>
          <t>LOW (₹)</t>
        </is>
      </c>
      <c r="D76" s="3" t="inlineStr">
        <is>
          <t>MID (₹)</t>
        </is>
      </c>
      <c r="E76" s="3" t="inlineStr">
        <is>
          <t>HIGH (₹)</t>
        </is>
      </c>
    </row>
    <row r="77">
      <c r="A77" s="9" t="inlineStr">
        <is>
          <t>One time implementation cost</t>
        </is>
      </c>
      <c r="C77" s="10">
        <f>C78</f>
        <v/>
      </c>
      <c r="D77" s="10">
        <f>D78</f>
        <v/>
      </c>
      <c r="E77" s="10">
        <f>E78</f>
        <v/>
      </c>
    </row>
    <row r="78">
      <c r="A78" s="4" t="inlineStr">
        <is>
          <t xml:space="preserve">   Ext. resources (Consultant/SI Partner)</t>
        </is>
      </c>
      <c r="C78" s="11" t="n">
        <v>50000</v>
      </c>
      <c r="D78" s="11" t="n">
        <v>500000</v>
      </c>
      <c r="E78" s="11" t="n">
        <v>2200000</v>
      </c>
    </row>
    <row r="79">
      <c r="A79" s="9" t="inlineStr">
        <is>
          <t>Recurring cost per year</t>
        </is>
      </c>
      <c r="C79" s="10">
        <f>SUM(C80:C83)</f>
        <v/>
      </c>
      <c r="D79" s="10">
        <f>SUM(D80:D83)</f>
        <v/>
      </c>
      <c r="E79" s="10">
        <f>SUM(E80:E83)</f>
        <v/>
      </c>
    </row>
    <row r="80">
      <c r="A80" s="4" t="inlineStr">
        <is>
          <t xml:space="preserve">   Annual subscription fee</t>
        </is>
      </c>
      <c r="C80" s="11" t="n">
        <v>50000</v>
      </c>
      <c r="D80" s="11" t="n">
        <v>525000</v>
      </c>
      <c r="E80" s="11" t="n">
        <v>1050000</v>
      </c>
    </row>
    <row r="81">
      <c r="A81" s="4" t="inlineStr">
        <is>
          <t xml:space="preserve">   Recurring data cost</t>
        </is>
      </c>
      <c r="C81" s="11" t="n">
        <v>28800</v>
      </c>
      <c r="D81" s="11" t="n">
        <v>280000</v>
      </c>
      <c r="E81" s="11" t="n">
        <v>760320</v>
      </c>
    </row>
    <row r="82">
      <c r="A82" s="4" t="inlineStr">
        <is>
          <t xml:space="preserve">   User license fee</t>
        </is>
      </c>
      <c r="C82" s="11" t="n">
        <v>3000</v>
      </c>
      <c r="D82" s="11" t="n">
        <v>21000</v>
      </c>
      <c r="E82" s="11" t="n">
        <v>42000</v>
      </c>
    </row>
    <row r="83">
      <c r="A83" s="4" t="inlineStr">
        <is>
          <t xml:space="preserve">   Maintenance</t>
        </is>
      </c>
      <c r="C83" s="11" t="n">
        <v>5000</v>
      </c>
      <c r="D83" s="11" t="n">
        <v>35000</v>
      </c>
      <c r="E83" s="11" t="n">
        <v>70000</v>
      </c>
    </row>
    <row r="85">
      <c r="A85" s="12" t="inlineStr">
        <is>
          <t>Ongoing tech support and maintenance of martech stack</t>
        </is>
      </c>
      <c r="B85" s="13" t="n"/>
      <c r="C85" s="14" t="n">
        <v>0</v>
      </c>
      <c r="D85" s="14" t="n">
        <v>1500000</v>
      </c>
      <c r="E85" s="15" t="n">
        <v>5220000</v>
      </c>
    </row>
  </sheetData>
  <mergeCells count="9">
    <mergeCell ref="A55:E55"/>
    <mergeCell ref="A35:E35"/>
    <mergeCell ref="A4:E4"/>
    <mergeCell ref="A65:E65"/>
    <mergeCell ref="A25:E25"/>
    <mergeCell ref="A85:B85"/>
    <mergeCell ref="A45:E45"/>
    <mergeCell ref="A75:E75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MARTECH COST COMPARISON - LOW vs MID vs HIGH (₹)</t>
        </is>
      </c>
    </row>
    <row r="3">
      <c r="A3" s="3" t="inlineStr">
        <is>
          <t>Cost Component</t>
        </is>
      </c>
      <c r="B3" s="3" t="inlineStr"/>
      <c r="C3" s="3" t="inlineStr">
        <is>
          <t>LOW (₹)</t>
        </is>
      </c>
      <c r="D3" s="3" t="inlineStr">
        <is>
          <t>MID (₹)</t>
        </is>
      </c>
      <c r="E3" s="3" t="inlineStr">
        <is>
          <t>HIGH (₹)</t>
        </is>
      </c>
    </row>
    <row r="5">
      <c r="A5" s="9" t="inlineStr">
        <is>
          <t>1. CDP</t>
        </is>
      </c>
      <c r="B5" s="16" t="n"/>
      <c r="C5" s="16" t="n"/>
      <c r="D5" s="16" t="n"/>
      <c r="E5" s="13" t="n"/>
    </row>
    <row r="6">
      <c r="A6" s="4" t="inlineStr">
        <is>
          <t xml:space="preserve">   One time implementation</t>
        </is>
      </c>
      <c r="C6" s="11" t="n">
        <v>850000</v>
      </c>
      <c r="D6" s="11" t="n">
        <v>2800000</v>
      </c>
      <c r="E6" s="11" t="n">
        <v>4780000</v>
      </c>
    </row>
    <row r="7">
      <c r="A7" s="4" t="inlineStr">
        <is>
          <t xml:space="preserve">   Recurring cost per year</t>
        </is>
      </c>
      <c r="C7" s="11" t="n">
        <v>948800</v>
      </c>
      <c r="D7" s="11" t="n">
        <v>2713000</v>
      </c>
      <c r="E7" s="11" t="n">
        <v>5743200</v>
      </c>
    </row>
    <row r="9">
      <c r="A9" s="9" t="inlineStr">
        <is>
          <t>2. CMP</t>
        </is>
      </c>
      <c r="B9" s="16" t="n"/>
      <c r="C9" s="16" t="n"/>
      <c r="D9" s="16" t="n"/>
      <c r="E9" s="13" t="n"/>
    </row>
    <row r="10">
      <c r="A10" s="4" t="inlineStr">
        <is>
          <t xml:space="preserve">   One time implementation</t>
        </is>
      </c>
      <c r="C10" s="11" t="n">
        <v>850000</v>
      </c>
      <c r="D10" s="11" t="n">
        <v>2800000</v>
      </c>
      <c r="E10" s="11" t="n">
        <v>4940000</v>
      </c>
    </row>
    <row r="11">
      <c r="A11" s="4" t="inlineStr">
        <is>
          <t xml:space="preserve">   Recurring cost per year</t>
        </is>
      </c>
      <c r="C11" s="11" t="n">
        <v>948800</v>
      </c>
      <c r="D11" s="11" t="n">
        <v>3563000</v>
      </c>
      <c r="E11" s="11" t="n">
        <v>7934592</v>
      </c>
    </row>
    <row r="13">
      <c r="A13" s="9" t="inlineStr">
        <is>
          <t>3. CMS</t>
        </is>
      </c>
      <c r="B13" s="16" t="n"/>
      <c r="C13" s="16" t="n"/>
      <c r="D13" s="16" t="n"/>
      <c r="E13" s="13" t="n"/>
    </row>
    <row r="14">
      <c r="A14" s="4" t="inlineStr">
        <is>
          <t xml:space="preserve">   One time implementation</t>
        </is>
      </c>
      <c r="C14" s="11" t="n">
        <v>450000</v>
      </c>
      <c r="D14" s="11" t="n">
        <v>1500000</v>
      </c>
      <c r="E14" s="11" t="n">
        <v>2864000</v>
      </c>
    </row>
    <row r="15">
      <c r="A15" s="4" t="inlineStr">
        <is>
          <t xml:space="preserve">   Recurring cost per year</t>
        </is>
      </c>
      <c r="C15" s="11" t="n">
        <v>264800</v>
      </c>
      <c r="D15" s="11" t="n">
        <v>1307000</v>
      </c>
      <c r="E15" s="11" t="n">
        <v>2914320</v>
      </c>
    </row>
    <row r="17">
      <c r="A17" s="9" t="inlineStr">
        <is>
          <t>4. Experimentation</t>
        </is>
      </c>
      <c r="B17" s="16" t="n"/>
      <c r="C17" s="16" t="n"/>
      <c r="D17" s="16" t="n"/>
      <c r="E17" s="13" t="n"/>
    </row>
    <row r="18">
      <c r="A18" s="4" t="inlineStr">
        <is>
          <t xml:space="preserve">   One time implementation</t>
        </is>
      </c>
      <c r="C18" s="11" t="n">
        <v>50000</v>
      </c>
      <c r="D18" s="11" t="n">
        <v>500000</v>
      </c>
      <c r="E18" s="11" t="n">
        <v>1660000</v>
      </c>
    </row>
    <row r="19">
      <c r="A19" s="4" t="inlineStr">
        <is>
          <t xml:space="preserve">   Recurring cost per year</t>
        </is>
      </c>
      <c r="C19" s="11" t="n">
        <v>86800</v>
      </c>
      <c r="D19" s="11" t="n">
        <v>861000</v>
      </c>
      <c r="E19" s="11" t="n">
        <v>1822320</v>
      </c>
    </row>
    <row r="21">
      <c r="A21" s="9" t="inlineStr">
        <is>
          <t>5. Orchestration</t>
        </is>
      </c>
      <c r="B21" s="16" t="n"/>
      <c r="C21" s="16" t="n"/>
      <c r="D21" s="16" t="n"/>
      <c r="E21" s="13" t="n"/>
    </row>
    <row r="22">
      <c r="A22" s="4" t="inlineStr">
        <is>
          <t xml:space="preserve">   One time implementation</t>
        </is>
      </c>
      <c r="C22" s="11" t="n">
        <v>100000</v>
      </c>
      <c r="D22" s="11" t="n">
        <v>1000000</v>
      </c>
      <c r="E22" s="11" t="n">
        <v>3820000</v>
      </c>
    </row>
    <row r="23">
      <c r="A23" s="4" t="inlineStr">
        <is>
          <t xml:space="preserve">   Recurring cost per year</t>
        </is>
      </c>
      <c r="C23" s="11" t="n">
        <v>186800</v>
      </c>
      <c r="D23" s="11" t="n">
        <v>1811000</v>
      </c>
      <c r="E23" s="11" t="n">
        <v>3922320</v>
      </c>
    </row>
    <row r="25">
      <c r="A25" s="9" t="inlineStr">
        <is>
          <t>6. Web/App Analytics</t>
        </is>
      </c>
      <c r="B25" s="16" t="n"/>
      <c r="C25" s="16" t="n"/>
      <c r="D25" s="16" t="n"/>
      <c r="E25" s="13" t="n"/>
    </row>
    <row r="26">
      <c r="A26" s="4" t="inlineStr">
        <is>
          <t xml:space="preserve">   One time implementation</t>
        </is>
      </c>
      <c r="C26" s="11" t="n">
        <v>100000</v>
      </c>
      <c r="D26" s="11" t="n">
        <v>1000000</v>
      </c>
      <c r="E26" s="11" t="n">
        <v>3820000</v>
      </c>
    </row>
    <row r="27">
      <c r="A27" s="4" t="inlineStr">
        <is>
          <t xml:space="preserve">   Recurring cost per year</t>
        </is>
      </c>
      <c r="C27" s="11" t="n">
        <v>208000</v>
      </c>
      <c r="D27" s="11" t="n">
        <v>2156000</v>
      </c>
      <c r="E27" s="11" t="n">
        <v>4212000</v>
      </c>
    </row>
    <row r="29">
      <c r="A29" s="9" t="inlineStr">
        <is>
          <t>7. MMP</t>
        </is>
      </c>
      <c r="B29" s="16" t="n"/>
      <c r="C29" s="16" t="n"/>
      <c r="D29" s="16" t="n"/>
      <c r="E29" s="13" t="n"/>
    </row>
    <row r="30">
      <c r="A30" s="4" t="inlineStr">
        <is>
          <t xml:space="preserve">   One time implementation</t>
        </is>
      </c>
      <c r="C30" s="11" t="n">
        <v>100000</v>
      </c>
      <c r="D30" s="11" t="n">
        <v>500000</v>
      </c>
      <c r="E30" s="11" t="n">
        <v>3320000</v>
      </c>
    </row>
    <row r="31">
      <c r="A31" s="4" t="inlineStr">
        <is>
          <t xml:space="preserve">   Recurring cost per year</t>
        </is>
      </c>
      <c r="C31" s="11" t="n">
        <v>50200</v>
      </c>
      <c r="D31" s="11" t="n">
        <v>721000</v>
      </c>
      <c r="E31" s="11" t="n">
        <v>1422000</v>
      </c>
    </row>
    <row r="33">
      <c r="A33" s="9" t="inlineStr">
        <is>
          <t>8. Social Management</t>
        </is>
      </c>
      <c r="B33" s="16" t="n"/>
      <c r="C33" s="16" t="n"/>
      <c r="D33" s="16" t="n"/>
      <c r="E33" s="13" t="n"/>
    </row>
    <row r="34">
      <c r="A34" s="4" t="inlineStr">
        <is>
          <t xml:space="preserve">   One time implementation</t>
        </is>
      </c>
      <c r="C34" s="11" t="n">
        <v>50000</v>
      </c>
      <c r="D34" s="11" t="n">
        <v>500000</v>
      </c>
      <c r="E34" s="11" t="n">
        <v>2200000</v>
      </c>
    </row>
    <row r="35">
      <c r="A35" s="4" t="inlineStr">
        <is>
          <t xml:space="preserve">   Recurring cost per year</t>
        </is>
      </c>
      <c r="C35" s="11" t="n">
        <v>86800</v>
      </c>
      <c r="D35" s="11" t="n">
        <v>861000</v>
      </c>
      <c r="E35" s="11" t="n">
        <v>1822320</v>
      </c>
    </row>
    <row r="37">
      <c r="A37" s="17" t="inlineStr">
        <is>
          <t>TOTAL ONE-TIME IMPLEMENTATION</t>
        </is>
      </c>
      <c r="C37" s="10" t="n">
        <v>2550000</v>
      </c>
      <c r="D37" s="10" t="n">
        <v>10600000</v>
      </c>
      <c r="E37" s="10" t="n">
        <v>27404000</v>
      </c>
    </row>
    <row r="38">
      <c r="A38" s="17" t="inlineStr">
        <is>
          <t>TOTAL RECURRING (per year)</t>
        </is>
      </c>
      <c r="C38" s="10" t="n">
        <v>2781000</v>
      </c>
      <c r="D38" s="10" t="n">
        <v>13993000</v>
      </c>
      <c r="E38" s="10" t="n">
        <v>29793072</v>
      </c>
    </row>
    <row r="39">
      <c r="A39" s="12" t="inlineStr">
        <is>
          <t>Ongoing Tech Support (annual)</t>
        </is>
      </c>
      <c r="C39" s="14" t="n">
        <v>0</v>
      </c>
      <c r="D39" s="14" t="n">
        <v>1500000</v>
      </c>
      <c r="E39" s="14" t="n">
        <v>5220000</v>
      </c>
    </row>
    <row r="41">
      <c r="A41" s="9" t="inlineStr">
        <is>
          <t>5-YEAR TCO CALCULATION</t>
        </is>
      </c>
      <c r="B41" s="16" t="n"/>
      <c r="C41" s="16" t="n"/>
      <c r="D41" s="16" t="n"/>
      <c r="E41" s="13" t="n"/>
    </row>
    <row r="42">
      <c r="A42" s="4" t="inlineStr">
        <is>
          <t>Implementation (Y1 only)</t>
        </is>
      </c>
      <c r="C42" s="18">
        <f>C37</f>
        <v/>
      </c>
      <c r="D42" s="18">
        <f>D37</f>
        <v/>
      </c>
      <c r="E42" s="18">
        <f>E37</f>
        <v/>
      </c>
    </row>
    <row r="43">
      <c r="A43" s="4" t="inlineStr">
        <is>
          <t>Recurring x 5 years</t>
        </is>
      </c>
      <c r="C43" s="18">
        <f>C38*5</f>
        <v/>
      </c>
      <c r="D43" s="18">
        <f>D38*5</f>
        <v/>
      </c>
      <c r="E43" s="18">
        <f>E38*5</f>
        <v/>
      </c>
    </row>
    <row r="44">
      <c r="A44" s="4" t="inlineStr">
        <is>
          <t>Tech Support x 5 years</t>
        </is>
      </c>
      <c r="C44" s="18">
        <f>C39*5</f>
        <v/>
      </c>
      <c r="D44" s="18">
        <f>D39*5</f>
        <v/>
      </c>
      <c r="E44" s="18">
        <f>E39*5</f>
        <v/>
      </c>
    </row>
    <row r="45">
      <c r="A45" s="17" t="inlineStr">
        <is>
          <t>5-YEAR TCO (₹)</t>
        </is>
      </c>
      <c r="C45" s="10">
        <f>C42+C43+C44</f>
        <v/>
      </c>
      <c r="D45" s="10">
        <f>D42+D43+D44</f>
        <v/>
      </c>
      <c r="E45" s="10">
        <f>E42+E43+E44</f>
        <v/>
      </c>
    </row>
    <row r="46">
      <c r="A46" s="12" t="inlineStr">
        <is>
          <t>5-YEAR TCO (Lakhs)</t>
        </is>
      </c>
      <c r="C46" s="19">
        <f>C45/100000</f>
        <v/>
      </c>
      <c r="D46" s="19">
        <f>D45/100000</f>
        <v/>
      </c>
      <c r="E46" s="19">
        <f>E45/100000</f>
        <v/>
      </c>
    </row>
    <row r="47">
      <c r="A47" s="12" t="inlineStr">
        <is>
          <t>5-YEAR TCO (Cr)</t>
        </is>
      </c>
      <c r="C47" s="19">
        <f>C45/10000000</f>
        <v/>
      </c>
      <c r="D47" s="19">
        <f>D45/10000000</f>
        <v/>
      </c>
      <c r="E47" s="19">
        <f>E45/10000000</f>
        <v/>
      </c>
    </row>
  </sheetData>
  <mergeCells count="9">
    <mergeCell ref="A21:E21"/>
    <mergeCell ref="A29:E29"/>
    <mergeCell ref="A25:E25"/>
    <mergeCell ref="A41:E41"/>
    <mergeCell ref="A33:E33"/>
    <mergeCell ref="A5:E5"/>
    <mergeCell ref="A13:E13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5-YEAR DETAILED BREAKDOWN (₹ INR - INDIA PRICING)</t>
        </is>
      </c>
    </row>
    <row r="3">
      <c r="A3" s="3" t="inlineStr">
        <is>
          <t>Component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  <c r="E3" s="3" t="inlineStr">
        <is>
          <t>Y4</t>
        </is>
      </c>
      <c r="F3" s="3" t="inlineStr">
        <is>
          <t>Y5</t>
        </is>
      </c>
      <c r="G3" s="3" t="inlineStr">
        <is>
          <t>5-Year Total</t>
        </is>
      </c>
    </row>
    <row r="5">
      <c r="A5" s="9" t="inlineStr">
        <is>
          <t>LOW MODEL (~₹1 Cr/year)</t>
        </is>
      </c>
      <c r="B5" s="16" t="n"/>
      <c r="C5" s="16" t="n"/>
      <c r="D5" s="16" t="n"/>
      <c r="E5" s="16" t="n"/>
      <c r="F5" s="16" t="n"/>
      <c r="G5" s="13" t="n"/>
    </row>
    <row r="6">
      <c r="A6" s="4" t="inlineStr">
        <is>
          <t>Implementation</t>
        </is>
      </c>
      <c r="B6" s="11" t="n">
        <v>2600000</v>
      </c>
      <c r="C6" s="18" t="n">
        <v>0</v>
      </c>
      <c r="D6" s="18" t="n">
        <v>0</v>
      </c>
      <c r="E6" s="18" t="n">
        <v>0</v>
      </c>
      <c r="F6" s="18" t="n">
        <v>0</v>
      </c>
      <c r="G6" s="20">
        <f>SUM(B6:F6)</f>
        <v/>
      </c>
    </row>
    <row r="7">
      <c r="A7" s="4" t="inlineStr">
        <is>
          <t>Recurring</t>
        </is>
      </c>
      <c r="B7" s="11" t="n">
        <v>2781000</v>
      </c>
      <c r="C7" s="18">
        <f>B7*(1+Parameters!$B$7)</f>
        <v/>
      </c>
      <c r="D7" s="18">
        <f>C7*(1+Parameters!$B$7)</f>
        <v/>
      </c>
      <c r="E7" s="18">
        <f>D7*(1+Parameters!$B$7)</f>
        <v/>
      </c>
      <c r="F7" s="18">
        <f>E7*(1+Parameters!$B$7)</f>
        <v/>
      </c>
      <c r="G7" s="20">
        <f>SUM(B7:F7)</f>
        <v/>
      </c>
    </row>
    <row r="8">
      <c r="A8" s="4" t="inlineStr">
        <is>
          <t>Tech Support</t>
        </is>
      </c>
      <c r="B8" s="11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20">
        <f>SUM(B8:F8)</f>
        <v/>
      </c>
    </row>
    <row r="9">
      <c r="A9" s="17" t="inlineStr">
        <is>
          <t>TOTAL LOW (₹)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E6+E7+E8</f>
        <v/>
      </c>
      <c r="F9" s="10">
        <f>F6+F7+F8</f>
        <v/>
      </c>
      <c r="G9" s="10">
        <f>G6+G7+G8</f>
        <v/>
      </c>
    </row>
    <row r="10">
      <c r="A10" s="12" t="inlineStr">
        <is>
          <t>TOTAL LOW (Lakhs)</t>
        </is>
      </c>
      <c r="B10" s="19">
        <f>B9/100000</f>
        <v/>
      </c>
      <c r="C10" s="19">
        <f>C9/100000</f>
        <v/>
      </c>
      <c r="D10" s="19">
        <f>D9/100000</f>
        <v/>
      </c>
      <c r="E10" s="19">
        <f>E9/100000</f>
        <v/>
      </c>
      <c r="F10" s="19">
        <f>F9/100000</f>
        <v/>
      </c>
      <c r="G10" s="19">
        <f>G9/100000</f>
        <v/>
      </c>
    </row>
    <row r="12">
      <c r="A12" s="9" t="inlineStr">
        <is>
          <t>MID MODEL (~₹3 Cr/year)</t>
        </is>
      </c>
      <c r="B12" s="16" t="n"/>
      <c r="C12" s="16" t="n"/>
      <c r="D12" s="16" t="n"/>
      <c r="E12" s="16" t="n"/>
      <c r="F12" s="16" t="n"/>
      <c r="G12" s="13" t="n"/>
    </row>
    <row r="13">
      <c r="A13" s="4" t="inlineStr">
        <is>
          <t>Implementation</t>
        </is>
      </c>
      <c r="B13" s="11" t="n">
        <v>10600000</v>
      </c>
      <c r="C13" s="18" t="n">
        <v>0</v>
      </c>
      <c r="D13" s="18" t="n">
        <v>0</v>
      </c>
      <c r="E13" s="18" t="n">
        <v>0</v>
      </c>
      <c r="F13" s="18" t="n">
        <v>0</v>
      </c>
      <c r="G13" s="20">
        <f>SUM(B13:F13)</f>
        <v/>
      </c>
    </row>
    <row r="14">
      <c r="A14" s="4" t="inlineStr">
        <is>
          <t>Recurring</t>
        </is>
      </c>
      <c r="B14" s="11" t="n">
        <v>13993000</v>
      </c>
      <c r="C14" s="18">
        <f>B14*(1+Parameters!$B$7)</f>
        <v/>
      </c>
      <c r="D14" s="18">
        <f>C14*(1+Parameters!$B$7)</f>
        <v/>
      </c>
      <c r="E14" s="18">
        <f>D14*(1+Parameters!$B$7)</f>
        <v/>
      </c>
      <c r="F14" s="18">
        <f>E14*(1+Parameters!$B$7)</f>
        <v/>
      </c>
      <c r="G14" s="20">
        <f>SUM(B14:F14)</f>
        <v/>
      </c>
    </row>
    <row r="15">
      <c r="A15" s="4" t="inlineStr">
        <is>
          <t>Tech Support</t>
        </is>
      </c>
      <c r="B15" s="11" t="n">
        <v>1500000</v>
      </c>
      <c r="C15" s="18">
        <f>B15*(1+Parameters!$B$7)</f>
        <v/>
      </c>
      <c r="D15" s="18">
        <f>C15*(1+Parameters!$B$7)</f>
        <v/>
      </c>
      <c r="E15" s="18">
        <f>D15*(1+Parameters!$B$7)</f>
        <v/>
      </c>
      <c r="F15" s="18">
        <f>E15*(1+Parameters!$B$7)</f>
        <v/>
      </c>
      <c r="G15" s="20">
        <f>SUM(B15:F15)</f>
        <v/>
      </c>
    </row>
    <row r="16">
      <c r="A16" s="17" t="inlineStr">
        <is>
          <t>TOTAL MID (₹)</t>
        </is>
      </c>
      <c r="B16" s="10">
        <f>B13+B14+B15</f>
        <v/>
      </c>
      <c r="C16" s="10">
        <f>C13+C14+C15</f>
        <v/>
      </c>
      <c r="D16" s="10">
        <f>D13+D14+D15</f>
        <v/>
      </c>
      <c r="E16" s="10">
        <f>E13+E14+E15</f>
        <v/>
      </c>
      <c r="F16" s="10">
        <f>F13+F14+F15</f>
        <v/>
      </c>
      <c r="G16" s="10">
        <f>G13+G14+G15</f>
        <v/>
      </c>
    </row>
    <row r="17">
      <c r="A17" s="12" t="inlineStr">
        <is>
          <t>TOTAL MID (Lakhs)</t>
        </is>
      </c>
      <c r="B17" s="19">
        <f>B16/100000</f>
        <v/>
      </c>
      <c r="C17" s="19">
        <f>C16/100000</f>
        <v/>
      </c>
      <c r="D17" s="19">
        <f>D16/100000</f>
        <v/>
      </c>
      <c r="E17" s="19">
        <f>E16/100000</f>
        <v/>
      </c>
      <c r="F17" s="19">
        <f>F16/100000</f>
        <v/>
      </c>
      <c r="G17" s="19">
        <f>G16/100000</f>
        <v/>
      </c>
    </row>
    <row r="19">
      <c r="A19" s="9" t="inlineStr">
        <is>
          <t>HIGH MODEL (~₹6 Cr/year)</t>
        </is>
      </c>
      <c r="B19" s="16" t="n"/>
      <c r="C19" s="16" t="n"/>
      <c r="D19" s="16" t="n"/>
      <c r="E19" s="16" t="n"/>
      <c r="F19" s="16" t="n"/>
      <c r="G19" s="13" t="n"/>
    </row>
    <row r="20">
      <c r="A20" s="4" t="inlineStr">
        <is>
          <t>Implementation</t>
        </is>
      </c>
      <c r="B20" s="11" t="n">
        <v>27404000</v>
      </c>
      <c r="C20" s="18" t="n">
        <v>0</v>
      </c>
      <c r="D20" s="18" t="n">
        <v>0</v>
      </c>
      <c r="E20" s="18" t="n">
        <v>0</v>
      </c>
      <c r="F20" s="18" t="n">
        <v>0</v>
      </c>
      <c r="G20" s="20">
        <f>SUM(B20:F20)</f>
        <v/>
      </c>
    </row>
    <row r="21">
      <c r="A21" s="4" t="inlineStr">
        <is>
          <t>Recurring</t>
        </is>
      </c>
      <c r="B21" s="11" t="n">
        <v>29793072</v>
      </c>
      <c r="C21" s="18">
        <f>B21*(1+Parameters!$B$7)</f>
        <v/>
      </c>
      <c r="D21" s="18">
        <f>C21*(1+Parameters!$B$7)</f>
        <v/>
      </c>
      <c r="E21" s="18">
        <f>D21*(1+Parameters!$B$7)</f>
        <v/>
      </c>
      <c r="F21" s="18">
        <f>E21*(1+Parameters!$B$7)</f>
        <v/>
      </c>
      <c r="G21" s="20">
        <f>SUM(B21:F21)</f>
        <v/>
      </c>
    </row>
    <row r="22">
      <c r="A22" s="4" t="inlineStr">
        <is>
          <t>Tech Support</t>
        </is>
      </c>
      <c r="B22" s="11" t="n">
        <v>5220000</v>
      </c>
      <c r="C22" s="18">
        <f>B22*(1+Parameters!$B$7)</f>
        <v/>
      </c>
      <c r="D22" s="18">
        <f>C22*(1+Parameters!$B$7)</f>
        <v/>
      </c>
      <c r="E22" s="18">
        <f>D22*(1+Parameters!$B$7)</f>
        <v/>
      </c>
      <c r="F22" s="18">
        <f>E22*(1+Parameters!$B$7)</f>
        <v/>
      </c>
      <c r="G22" s="20">
        <f>SUM(B22:F22)</f>
        <v/>
      </c>
    </row>
    <row r="23">
      <c r="A23" s="17" t="inlineStr">
        <is>
          <t>TOTAL HIGH (₹)</t>
        </is>
      </c>
      <c r="B23" s="10">
        <f>B20+B21+B22</f>
        <v/>
      </c>
      <c r="C23" s="10">
        <f>C20+C21+C22</f>
        <v/>
      </c>
      <c r="D23" s="10">
        <f>D20+D21+D22</f>
        <v/>
      </c>
      <c r="E23" s="10">
        <f>E20+E21+E22</f>
        <v/>
      </c>
      <c r="F23" s="10">
        <f>F20+F21+F22</f>
        <v/>
      </c>
      <c r="G23" s="10">
        <f>G20+G21+G22</f>
        <v/>
      </c>
    </row>
    <row r="24">
      <c r="A24" s="12" t="inlineStr">
        <is>
          <t>TOTAL HIGH (Lakhs)</t>
        </is>
      </c>
      <c r="B24" s="19">
        <f>B23/100000</f>
        <v/>
      </c>
      <c r="C24" s="19">
        <f>C23/100000</f>
        <v/>
      </c>
      <c r="D24" s="19">
        <f>D23/100000</f>
        <v/>
      </c>
      <c r="E24" s="19">
        <f>E23/100000</f>
        <v/>
      </c>
      <c r="F24" s="19">
        <f>F23/100000</f>
        <v/>
      </c>
      <c r="G24" s="19">
        <f>G23/100000</f>
        <v/>
      </c>
    </row>
    <row r="25">
      <c r="A25" s="12" t="inlineStr">
        <is>
          <t>TOTAL HIGH (Cr)</t>
        </is>
      </c>
      <c r="B25" s="19">
        <f>B23/10000000</f>
        <v/>
      </c>
      <c r="C25" s="19">
        <f>C23/10000000</f>
        <v/>
      </c>
      <c r="D25" s="19">
        <f>D23/10000000</f>
        <v/>
      </c>
      <c r="E25" s="19">
        <f>E23/10000000</f>
        <v/>
      </c>
      <c r="F25" s="19">
        <f>F23/10000000</f>
        <v/>
      </c>
      <c r="G25" s="19">
        <f>G23/10000000</f>
        <v/>
      </c>
    </row>
  </sheetData>
  <mergeCells count="3">
    <mergeCell ref="A19:G19"/>
    <mergeCell ref="A5:G5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MARTECH 5-YEAR COST SUMMARY (₹ INR - INDIA PRICING)</t>
        </is>
      </c>
    </row>
    <row r="2">
      <c r="A2" s="21" t="inlineStr">
        <is>
          <t>LOW ~₹1 Cr/yr | MID ~₹3 Cr/yr | HIGH ~₹6 Cr/yr</t>
        </is>
      </c>
    </row>
    <row r="4">
      <c r="A4" s="9" t="inlineStr">
        <is>
          <t>ANNUAL COST SUMMARY</t>
        </is>
      </c>
      <c r="B4" s="16" t="n"/>
      <c r="C4" s="16" t="n"/>
      <c r="D4" s="16" t="n"/>
      <c r="E4" s="13" t="n"/>
    </row>
    <row r="5">
      <c r="A5" s="3" t="inlineStr"/>
      <c r="B5" s="3" t="inlineStr">
        <is>
          <t>LOW</t>
        </is>
      </c>
      <c r="C5" s="3" t="inlineStr">
        <is>
          <t>MID</t>
        </is>
      </c>
      <c r="D5" s="3" t="inlineStr">
        <is>
          <t>HIGH</t>
        </is>
      </c>
    </row>
    <row r="6">
      <c r="A6" s="4" t="inlineStr">
        <is>
          <t>Implementation (One-time)</t>
        </is>
      </c>
      <c r="B6" s="4" t="inlineStr">
        <is>
          <t>₹26 L</t>
        </is>
      </c>
      <c r="C6" s="4" t="inlineStr">
        <is>
          <t>₹1.06 Cr</t>
        </is>
      </c>
      <c r="D6" s="4" t="inlineStr">
        <is>
          <t>₹2.74 Cr</t>
        </is>
      </c>
    </row>
    <row r="7">
      <c r="A7" s="4" t="inlineStr">
        <is>
          <t>Recurring (Annual)</t>
        </is>
      </c>
      <c r="B7" s="4" t="inlineStr">
        <is>
          <t>₹27.81 L</t>
        </is>
      </c>
      <c r="C7" s="4" t="inlineStr">
        <is>
          <t>₹1.40 Cr</t>
        </is>
      </c>
      <c r="D7" s="4" t="inlineStr">
        <is>
          <t>₹2.98 Cr</t>
        </is>
      </c>
    </row>
    <row r="8">
      <c r="A8" s="4" t="inlineStr">
        <is>
          <t>Tech Support (Annual)</t>
        </is>
      </c>
      <c r="B8" s="4" t="inlineStr">
        <is>
          <t>₹0</t>
        </is>
      </c>
      <c r="C8" s="4" t="inlineStr">
        <is>
          <t>₹15 L</t>
        </is>
      </c>
      <c r="D8" s="4" t="inlineStr">
        <is>
          <t>₹52.20 L</t>
        </is>
      </c>
    </row>
    <row r="9">
      <c r="A9" s="17" t="inlineStr">
        <is>
          <t>TOTAL YEAR 1</t>
        </is>
      </c>
      <c r="B9" s="17" t="inlineStr">
        <is>
          <t>₹53.81 L</t>
        </is>
      </c>
      <c r="C9" s="17" t="inlineStr">
        <is>
          <t>₹2.61 Cr</t>
        </is>
      </c>
      <c r="D9" s="17" t="inlineStr">
        <is>
          <t>₹6.24 Cr</t>
        </is>
      </c>
    </row>
    <row r="12">
      <c r="A12" s="9" t="inlineStr">
        <is>
          <t>5-YEAR TCO SUMMARY</t>
        </is>
      </c>
      <c r="B12" s="16" t="n"/>
      <c r="C12" s="16" t="n"/>
      <c r="D12" s="16" t="n"/>
      <c r="E12" s="13" t="n"/>
    </row>
    <row r="13">
      <c r="A13" s="3" t="inlineStr"/>
      <c r="B13" s="3" t="inlineStr">
        <is>
          <t>LOW</t>
        </is>
      </c>
      <c r="C13" s="3" t="inlineStr">
        <is>
          <t>MID</t>
        </is>
      </c>
      <c r="D13" s="3" t="inlineStr">
        <is>
          <t>HIGH</t>
        </is>
      </c>
    </row>
    <row r="14">
      <c r="A14" s="4" t="inlineStr">
        <is>
          <t>Implementation</t>
        </is>
      </c>
      <c r="B14" s="4" t="inlineStr">
        <is>
          <t>₹26 L</t>
        </is>
      </c>
      <c r="C14" s="4" t="inlineStr">
        <is>
          <t>₹1.06 Cr</t>
        </is>
      </c>
      <c r="D14" s="4" t="inlineStr">
        <is>
          <t>₹2.74 Cr</t>
        </is>
      </c>
    </row>
    <row r="15">
      <c r="A15" s="4" t="inlineStr">
        <is>
          <t>Recurring (5 years)</t>
        </is>
      </c>
      <c r="B15" s="4" t="inlineStr">
        <is>
          <t>₹1.39 Cr</t>
        </is>
      </c>
      <c r="C15" s="4" t="inlineStr">
        <is>
          <t>₹7.00 Cr</t>
        </is>
      </c>
      <c r="D15" s="4" t="inlineStr">
        <is>
          <t>₹14.90 Cr</t>
        </is>
      </c>
    </row>
    <row r="16">
      <c r="A16" s="4" t="inlineStr">
        <is>
          <t>Tech Support (5 years)</t>
        </is>
      </c>
      <c r="B16" s="4" t="inlineStr">
        <is>
          <t>₹0</t>
        </is>
      </c>
      <c r="C16" s="4" t="inlineStr">
        <is>
          <t>₹75 L</t>
        </is>
      </c>
      <c r="D16" s="4" t="inlineStr">
        <is>
          <t>₹2.61 Cr</t>
        </is>
      </c>
    </row>
    <row r="17">
      <c r="A17" s="17" t="inlineStr">
        <is>
          <t>5-YEAR TCO</t>
        </is>
      </c>
      <c r="B17" s="17" t="inlineStr">
        <is>
          <t>₹1.65 Cr</t>
        </is>
      </c>
      <c r="C17" s="17" t="inlineStr">
        <is>
          <t>₹8.81 Cr</t>
        </is>
      </c>
      <c r="D17" s="17" t="inlineStr">
        <is>
          <t>₹20.25 Cr</t>
        </is>
      </c>
    </row>
  </sheetData>
  <mergeCells count="2">
    <mergeCell ref="A12:E1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2026-01-08T15:32:59Z</dcterms:created>
  <dcterms:modified xsi:type="dcterms:W3CDTF">2026-01-08T15:32:59Z</dcterms:modified>
</cp:coreProperties>
</file>