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Core_Digital" sheetId="2" state="visible" r:id="rId2"/>
    <sheet name="Google_Web" sheetId="3" state="visible" r:id="rId3"/>
    <sheet name="Meta_Web" sheetId="4" state="visible" r:id="rId4"/>
    <sheet name="GMB" sheetId="5" state="visible" r:id="rId5"/>
    <sheet name="Website_Organic" sheetId="6" state="visible" r:id="rId6"/>
    <sheet name="Aggregator" sheetId="7" state="visible" r:id="rId7"/>
    <sheet name="App_Organic" sheetId="8" state="visible" r:id="rId8"/>
    <sheet name="LTV_Cohorts" sheetId="9" state="visible" r:id="rId9"/>
    <sheet name="Derived_Metrics" sheetId="10" state="visible" r:id="rId10"/>
    <sheet name="Reconciliation" sheetId="11" state="visible" r:id="rId11"/>
    <sheet name="Channel_Summ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5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40" customWidth="1" min="3" max="3"/>
  </cols>
  <sheetData>
    <row r="1">
      <c r="A1" s="1" t="inlineStr">
        <is>
          <t>CONFIGURATION PARAMETERS</t>
        </is>
      </c>
    </row>
    <row r="3">
      <c r="A3" s="2" t="inlineStr">
        <is>
          <t>Parameter</t>
        </is>
      </c>
      <c r="B3" s="2" t="inlineStr">
        <is>
          <t>Value</t>
        </is>
      </c>
      <c r="C3" s="2" t="inlineStr">
        <is>
          <t>Description</t>
        </is>
      </c>
    </row>
    <row r="4">
      <c r="A4" t="inlineStr">
        <is>
          <t>Target_ROI</t>
        </is>
      </c>
      <c r="B4" s="3" t="n">
        <v>200</v>
      </c>
      <c r="C4" t="inlineStr">
        <is>
          <t>Minimum acceptable ROI</t>
        </is>
      </c>
    </row>
    <row r="5">
      <c r="A5" t="inlineStr">
        <is>
          <t>Target_CPL</t>
        </is>
      </c>
      <c r="B5" s="3" t="n">
        <v>40</v>
      </c>
      <c r="C5" t="inlineStr">
        <is>
          <t>Target Cost per Lead (₹)</t>
        </is>
      </c>
    </row>
    <row r="6">
      <c r="A6" t="inlineStr">
        <is>
          <t>Target_NCA_pct</t>
        </is>
      </c>
      <c r="B6" s="3" t="n">
        <v>22</v>
      </c>
      <c r="C6" t="inlineStr">
        <is>
          <t>Target New Customer Acquisition %</t>
        </is>
      </c>
    </row>
    <row r="7">
      <c r="A7" t="inlineStr">
        <is>
          <t>Target_L_to_AS_pct</t>
        </is>
      </c>
      <c r="B7" s="3" t="n">
        <v>65</v>
      </c>
      <c r="C7" t="inlineStr">
        <is>
          <t>Target Lead to Appointment Schedule %</t>
        </is>
      </c>
    </row>
    <row r="8">
      <c r="A8" t="inlineStr">
        <is>
          <t>Target_AS_to_WI_pct</t>
        </is>
      </c>
      <c r="B8" s="3" t="n">
        <v>75</v>
      </c>
      <c r="C8" t="inlineStr">
        <is>
          <t>Target Appointment to Walk-in %</t>
        </is>
      </c>
    </row>
    <row r="9">
      <c r="A9" t="inlineStr">
        <is>
          <t>M3_Retention_Rate</t>
        </is>
      </c>
      <c r="B9" s="3" t="n">
        <v>0.45</v>
      </c>
      <c r="C9" t="inlineStr">
        <is>
          <t>Expected M3 retention rate</t>
        </is>
      </c>
    </row>
    <row r="10">
      <c r="A10" t="inlineStr">
        <is>
          <t>M6_Retention_Rate</t>
        </is>
      </c>
      <c r="B10" s="3" t="n">
        <v>0.3</v>
      </c>
      <c r="C10" t="inlineStr">
        <is>
          <t>Expected M6 retention rate</t>
        </is>
      </c>
    </row>
    <row r="11">
      <c r="A11" t="inlineStr">
        <is>
          <t>M9_Retention_Rate</t>
        </is>
      </c>
      <c r="B11" s="3" t="n">
        <v>0.2</v>
      </c>
      <c r="C11" t="inlineStr">
        <is>
          <t>Expected M9 retention rate</t>
        </is>
      </c>
    </row>
    <row r="12">
      <c r="A12" t="inlineStr">
        <is>
          <t>Paid_Budget_Split_Google_pct</t>
        </is>
      </c>
      <c r="B12" s="3" t="n">
        <v>70</v>
      </c>
      <c r="C12" t="inlineStr">
        <is>
          <t>Google share of paid budget</t>
        </is>
      </c>
    </row>
    <row r="13">
      <c r="A13" t="inlineStr">
        <is>
          <t>Paid_Budget_Split_Meta_pct</t>
        </is>
      </c>
      <c r="B13" s="3" t="n">
        <v>30</v>
      </c>
      <c r="C13" t="inlineStr">
        <is>
          <t>Meta share of paid budget</t>
        </is>
      </c>
    </row>
    <row r="14">
      <c r="A14" t="inlineStr">
        <is>
          <t>GMB_Growth_Rate_pct</t>
        </is>
      </c>
      <c r="B14" s="3" t="n">
        <v>5</v>
      </c>
      <c r="C14" t="inlineStr">
        <is>
          <t>Monthly GMB channel growth</t>
        </is>
      </c>
    </row>
    <row r="15">
      <c r="A15" t="inlineStr">
        <is>
          <t>Website_Organic_Growth_pct</t>
        </is>
      </c>
      <c r="B15" s="3" t="n">
        <v>3</v>
      </c>
      <c r="C15" t="inlineStr">
        <is>
          <t>Monthly website organic growth</t>
        </is>
      </c>
    </row>
    <row r="16">
      <c r="A16" t="inlineStr">
        <is>
          <t>App_Organic_Growth_pct</t>
        </is>
      </c>
      <c r="B16" s="3" t="n">
        <v>8</v>
      </c>
      <c r="C16" t="inlineStr">
        <is>
          <t>Monthly app organic growth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</cols>
  <sheetData>
    <row r="1">
      <c r="A1" s="4" t="inlineStr">
        <is>
          <t>Year</t>
        </is>
      </c>
      <c r="B1" s="4" t="inlineStr">
        <is>
          <t>Month</t>
        </is>
      </c>
      <c r="C1" s="4" t="inlineStr">
        <is>
          <t>Month_Num</t>
        </is>
      </c>
      <c r="D1" s="4" t="inlineStr">
        <is>
          <t>Perf_Spends</t>
        </is>
      </c>
      <c r="E1" s="4" t="inlineStr">
        <is>
          <t>Impressions</t>
        </is>
      </c>
      <c r="F1" s="4" t="inlineStr">
        <is>
          <t>Clicks</t>
        </is>
      </c>
      <c r="G1" s="4" t="inlineStr">
        <is>
          <t>CPM</t>
        </is>
      </c>
      <c r="H1" s="4" t="inlineStr">
        <is>
          <t>CPC</t>
        </is>
      </c>
      <c r="I1" s="4" t="inlineStr">
        <is>
          <t>CTR_pct</t>
        </is>
      </c>
      <c r="J1" s="4" t="inlineStr">
        <is>
          <t>Panel_Leads</t>
        </is>
      </c>
      <c r="K1" s="4" t="inlineStr">
        <is>
          <t>Panel_CPL</t>
        </is>
      </c>
      <c r="L1" s="4" t="inlineStr">
        <is>
          <t>Leads</t>
        </is>
      </c>
      <c r="M1" s="4" t="inlineStr">
        <is>
          <t>AS</t>
        </is>
      </c>
      <c r="N1" s="4" t="inlineStr">
        <is>
          <t>Walkin</t>
        </is>
      </c>
      <c r="O1" s="4" t="inlineStr">
        <is>
          <t>Total_Rev</t>
        </is>
      </c>
      <c r="P1" s="4" t="inlineStr">
        <is>
          <t>Exist_Rev</t>
        </is>
      </c>
      <c r="Q1" s="4" t="inlineStr">
        <is>
          <t>Diag_Rev</t>
        </is>
      </c>
      <c r="R1" s="4" t="inlineStr">
        <is>
          <t>CPL</t>
        </is>
      </c>
      <c r="S1" s="4" t="inlineStr">
        <is>
          <t>L_to_AS_pct</t>
        </is>
      </c>
      <c r="T1" s="4" t="inlineStr">
        <is>
          <t>AS_to_WI_pct</t>
        </is>
      </c>
      <c r="U1" s="4" t="inlineStr">
        <is>
          <t>ROI</t>
        </is>
      </c>
      <c r="V1" s="4" t="inlineStr">
        <is>
          <t>AOV</t>
        </is>
      </c>
      <c r="W1" s="4" t="inlineStr">
        <is>
          <t>NCA</t>
        </is>
      </c>
      <c r="X1" s="4" t="inlineStr">
        <is>
          <t>New_Rev</t>
        </is>
      </c>
      <c r="Y1" s="4" t="inlineStr">
        <is>
          <t>Cost_per_NCA</t>
        </is>
      </c>
      <c r="Z1" s="4" t="inlineStr">
        <is>
          <t>New_ROI</t>
        </is>
      </c>
      <c r="AA1" s="4" t="inlineStr">
        <is>
          <t>New_AOV</t>
        </is>
      </c>
      <c r="AB1" s="4" t="inlineStr">
        <is>
          <t>NCA_pct</t>
        </is>
      </c>
      <c r="AC1" s="4" t="inlineStr">
        <is>
          <t>New_Rev_pct</t>
        </is>
      </c>
      <c r="AD1" s="4" t="inlineStr">
        <is>
          <t>Transactions</t>
        </is>
      </c>
      <c r="AE1" s="4" t="inlineStr">
        <is>
          <t>New_Trans</t>
        </is>
      </c>
    </row>
    <row r="2">
      <c r="A2" s="5" t="n">
        <v>2024</v>
      </c>
      <c r="B2" s="5" t="inlineStr">
        <is>
          <t>November</t>
        </is>
      </c>
      <c r="C2" s="5" t="n">
        <v>1</v>
      </c>
      <c r="D2" s="5" t="n">
        <v>4998502</v>
      </c>
      <c r="E2" s="5" t="n">
        <v>28430647</v>
      </c>
      <c r="F2" s="5" t="n">
        <v>1471323</v>
      </c>
      <c r="G2" s="5" t="n">
        <v>176</v>
      </c>
      <c r="H2" s="5" t="n">
        <v>3</v>
      </c>
      <c r="I2" s="5" t="n">
        <v>5.18</v>
      </c>
      <c r="J2" s="5" t="n">
        <v>69135</v>
      </c>
      <c r="K2" s="5" t="n">
        <v>72</v>
      </c>
      <c r="L2" s="5" t="n">
        <v>116750</v>
      </c>
      <c r="M2" s="5" t="n">
        <v>45437</v>
      </c>
      <c r="N2" s="5" t="n">
        <v>37999</v>
      </c>
      <c r="O2" s="5" t="n">
        <v>578766770</v>
      </c>
      <c r="P2" s="5" t="n">
        <v>479551016</v>
      </c>
      <c r="Q2" s="5" t="n">
        <v>99215754</v>
      </c>
      <c r="R2" s="5" t="n">
        <v>43</v>
      </c>
      <c r="S2" s="5" t="n">
        <v>39</v>
      </c>
      <c r="T2" s="5" t="n">
        <v>84</v>
      </c>
      <c r="U2" s="5" t="n">
        <v>115.79</v>
      </c>
      <c r="V2" s="5" t="n">
        <v>15231</v>
      </c>
      <c r="W2" s="5" t="n">
        <v>7685</v>
      </c>
      <c r="X2" s="5" t="n">
        <v>236753680</v>
      </c>
      <c r="Y2" s="5" t="n">
        <v>650</v>
      </c>
      <c r="Z2" s="5" t="n">
        <v>47.36</v>
      </c>
      <c r="AA2" s="5" t="n">
        <v>30807</v>
      </c>
      <c r="AB2" s="5" t="n">
        <v>20</v>
      </c>
      <c r="AC2" s="5" t="n">
        <v>40.91</v>
      </c>
      <c r="AD2" s="5" t="n">
        <v>69064</v>
      </c>
      <c r="AE2" s="5" t="n">
        <v>17478</v>
      </c>
    </row>
    <row r="3">
      <c r="A3" s="5" t="n">
        <v>2024</v>
      </c>
      <c r="B3" s="5" t="inlineStr">
        <is>
          <t>December</t>
        </is>
      </c>
      <c r="C3" s="5" t="n">
        <v>2</v>
      </c>
      <c r="D3" s="5" t="n">
        <v>4478891</v>
      </c>
      <c r="E3" s="5" t="n">
        <v>21574013</v>
      </c>
      <c r="F3" s="5" t="n">
        <v>1283641</v>
      </c>
      <c r="G3" s="5" t="n">
        <v>208</v>
      </c>
      <c r="H3" s="5" t="n">
        <v>3</v>
      </c>
      <c r="I3" s="5" t="n">
        <v>5.95</v>
      </c>
      <c r="J3" s="5" t="n">
        <v>50205</v>
      </c>
      <c r="K3" s="5" t="n">
        <v>89</v>
      </c>
      <c r="L3" s="5" t="n">
        <v>103248</v>
      </c>
      <c r="M3" s="5" t="n">
        <v>46208</v>
      </c>
      <c r="N3" s="5" t="n">
        <v>38752</v>
      </c>
      <c r="O3" s="5" t="n">
        <v>621001341</v>
      </c>
      <c r="P3" s="5" t="n">
        <v>483129551</v>
      </c>
      <c r="Q3" s="5" t="n">
        <v>137871789</v>
      </c>
      <c r="R3" s="5" t="n">
        <v>43</v>
      </c>
      <c r="S3" s="5" t="n">
        <v>45</v>
      </c>
      <c r="T3" s="5" t="n">
        <v>84</v>
      </c>
      <c r="U3" s="5" t="n">
        <v>138.65</v>
      </c>
      <c r="V3" s="5" t="n">
        <v>16025</v>
      </c>
      <c r="W3" s="5" t="n">
        <v>7730</v>
      </c>
      <c r="X3" s="5" t="n">
        <v>239247158</v>
      </c>
      <c r="Y3" s="5" t="n">
        <v>579</v>
      </c>
      <c r="Z3" s="5" t="n">
        <v>53.42</v>
      </c>
      <c r="AA3" s="5" t="n">
        <v>30950</v>
      </c>
      <c r="AB3" s="5" t="n">
        <v>20</v>
      </c>
      <c r="AC3" s="5" t="n">
        <v>38.53</v>
      </c>
      <c r="AD3" s="5" t="n">
        <v>70584</v>
      </c>
      <c r="AE3" s="5" t="n">
        <v>17638</v>
      </c>
    </row>
    <row r="4">
      <c r="A4" s="5" t="n">
        <v>2025</v>
      </c>
      <c r="B4" s="5" t="inlineStr">
        <is>
          <t>January</t>
        </is>
      </c>
      <c r="C4" s="5" t="n">
        <v>3</v>
      </c>
      <c r="D4" s="5" t="n">
        <v>2111505</v>
      </c>
      <c r="E4" s="5" t="n">
        <v>8390150</v>
      </c>
      <c r="F4" s="5" t="n">
        <v>504968</v>
      </c>
      <c r="G4" s="5" t="n">
        <v>252</v>
      </c>
      <c r="H4" s="5" t="n">
        <v>4</v>
      </c>
      <c r="I4" s="5" t="n">
        <v>6.02</v>
      </c>
      <c r="J4" s="5" t="n">
        <v>21060</v>
      </c>
      <c r="K4" s="5" t="n">
        <v>100</v>
      </c>
      <c r="L4" s="5" t="n">
        <v>76814</v>
      </c>
      <c r="M4" s="5" t="n">
        <v>45072</v>
      </c>
      <c r="N4" s="5" t="n">
        <v>38604</v>
      </c>
      <c r="O4" s="5" t="n">
        <v>655731988</v>
      </c>
      <c r="P4" s="5" t="n">
        <v>481653777</v>
      </c>
      <c r="Q4" s="5" t="n">
        <v>174078211</v>
      </c>
      <c r="R4" s="5" t="n">
        <v>27</v>
      </c>
      <c r="S4" s="5" t="n">
        <v>59</v>
      </c>
      <c r="T4" s="5" t="n">
        <v>86</v>
      </c>
      <c r="U4" s="5" t="n">
        <v>310.55</v>
      </c>
      <c r="V4" s="5" t="n">
        <v>16986</v>
      </c>
      <c r="W4" s="5" t="n">
        <v>7068</v>
      </c>
      <c r="X4" s="5" t="n">
        <v>245782313</v>
      </c>
      <c r="Y4" s="5" t="n">
        <v>299</v>
      </c>
      <c r="Z4" s="5" t="n">
        <v>116.4</v>
      </c>
      <c r="AA4" s="5" t="n">
        <v>34774</v>
      </c>
      <c r="AB4" s="5" t="n">
        <v>18</v>
      </c>
      <c r="AC4" s="5" t="n">
        <v>37.48</v>
      </c>
      <c r="AD4" s="5" t="n">
        <v>69883</v>
      </c>
      <c r="AE4" s="5" t="n">
        <v>16718</v>
      </c>
    </row>
    <row r="5">
      <c r="A5" s="5" t="n">
        <v>2025</v>
      </c>
      <c r="B5" s="5" t="inlineStr">
        <is>
          <t>February</t>
        </is>
      </c>
      <c r="C5" s="5" t="n">
        <v>4</v>
      </c>
      <c r="D5" s="5" t="n">
        <v>2098582</v>
      </c>
      <c r="E5" s="5" t="n">
        <v>9559845</v>
      </c>
      <c r="F5" s="5" t="n">
        <v>522229</v>
      </c>
      <c r="G5" s="5" t="n">
        <v>220</v>
      </c>
      <c r="H5" s="5" t="n">
        <v>4</v>
      </c>
      <c r="I5" s="5" t="n">
        <v>5.46</v>
      </c>
      <c r="J5" s="5" t="n">
        <v>21528</v>
      </c>
      <c r="K5" s="5" t="n">
        <v>97</v>
      </c>
      <c r="L5" s="5" t="n">
        <v>78633</v>
      </c>
      <c r="M5" s="5" t="n">
        <v>44634</v>
      </c>
      <c r="N5" s="5" t="n">
        <v>37220</v>
      </c>
      <c r="O5" s="5" t="n">
        <v>559328253</v>
      </c>
      <c r="P5" s="5" t="n">
        <v>403725554</v>
      </c>
      <c r="Q5" s="5" t="n">
        <v>155602699</v>
      </c>
      <c r="R5" s="5" t="n">
        <v>27</v>
      </c>
      <c r="S5" s="5" t="n">
        <v>57</v>
      </c>
      <c r="T5" s="5" t="n">
        <v>83</v>
      </c>
      <c r="U5" s="5" t="n">
        <v>266.53</v>
      </c>
      <c r="V5" s="5" t="n">
        <v>15028</v>
      </c>
      <c r="W5" s="5" t="n">
        <v>6738</v>
      </c>
      <c r="X5" s="5" t="n">
        <v>188151945</v>
      </c>
      <c r="Y5" s="5" t="n">
        <v>311</v>
      </c>
      <c r="Z5" s="5" t="n">
        <v>89.66</v>
      </c>
      <c r="AA5" s="5" t="n">
        <v>27924</v>
      </c>
      <c r="AB5" s="5" t="n">
        <v>18</v>
      </c>
      <c r="AC5" s="5" t="n">
        <v>33.64</v>
      </c>
      <c r="AD5" s="5" t="n">
        <v>65805</v>
      </c>
      <c r="AE5" s="5" t="n">
        <v>14756</v>
      </c>
    </row>
    <row r="6">
      <c r="A6" s="5" t="n">
        <v>2025</v>
      </c>
      <c r="B6" s="5" t="inlineStr">
        <is>
          <t>March</t>
        </is>
      </c>
      <c r="C6" s="5" t="n">
        <v>5</v>
      </c>
      <c r="D6" s="5" t="n">
        <v>2663639</v>
      </c>
      <c r="E6" s="5" t="n">
        <v>9584065</v>
      </c>
      <c r="F6" s="5" t="n">
        <v>192308</v>
      </c>
      <c r="G6" s="5" t="n">
        <v>278</v>
      </c>
      <c r="H6" s="5" t="n">
        <v>14</v>
      </c>
      <c r="I6" s="5" t="n">
        <v>2.01</v>
      </c>
      <c r="J6" s="5" t="n">
        <v>9055</v>
      </c>
      <c r="K6" s="5" t="n">
        <v>294</v>
      </c>
      <c r="L6" s="5" t="n">
        <v>69834</v>
      </c>
      <c r="M6" s="5" t="n">
        <v>46065</v>
      </c>
      <c r="N6" s="5" t="n">
        <v>38923</v>
      </c>
      <c r="O6" s="5" t="n">
        <v>619373502</v>
      </c>
      <c r="P6" s="5" t="n">
        <v>434521474</v>
      </c>
      <c r="Q6" s="5" t="n">
        <v>184852027</v>
      </c>
      <c r="R6" s="5" t="n">
        <v>38</v>
      </c>
      <c r="S6" s="5" t="n">
        <v>66</v>
      </c>
      <c r="T6" s="5" t="n">
        <v>84</v>
      </c>
      <c r="U6" s="5" t="n">
        <v>232.53</v>
      </c>
      <c r="V6" s="5" t="n">
        <v>15913</v>
      </c>
      <c r="W6" s="5" t="n">
        <v>7611</v>
      </c>
      <c r="X6" s="5" t="n">
        <v>215386981</v>
      </c>
      <c r="Y6" s="5" t="n">
        <v>350</v>
      </c>
      <c r="Z6" s="5" t="n">
        <v>80.86</v>
      </c>
      <c r="AA6" s="5" t="n">
        <v>28299</v>
      </c>
      <c r="AB6" s="5" t="n">
        <v>20</v>
      </c>
      <c r="AC6" s="5" t="n">
        <v>34.77</v>
      </c>
      <c r="AD6" s="5" t="n">
        <v>70247</v>
      </c>
      <c r="AE6" s="5" t="n">
        <v>17189</v>
      </c>
    </row>
    <row r="7">
      <c r="A7" s="5" t="n">
        <v>2025</v>
      </c>
      <c r="B7" s="5" t="inlineStr">
        <is>
          <t>April</t>
        </is>
      </c>
      <c r="C7" s="5" t="n">
        <v>6</v>
      </c>
      <c r="D7" s="5" t="n">
        <v>2268827</v>
      </c>
      <c r="E7" s="5" t="n">
        <v>8343778</v>
      </c>
      <c r="F7" s="5" t="n">
        <v>49733</v>
      </c>
      <c r="G7" s="5" t="n">
        <v>272</v>
      </c>
      <c r="H7" s="5" t="n">
        <v>46</v>
      </c>
      <c r="I7" s="5" t="n">
        <v>0.6</v>
      </c>
      <c r="J7" s="5" t="n">
        <v>3238</v>
      </c>
      <c r="K7" s="5" t="n">
        <v>701</v>
      </c>
      <c r="L7" s="5" t="n">
        <v>56804</v>
      </c>
      <c r="M7" s="5" t="n">
        <v>40213</v>
      </c>
      <c r="N7" s="5" t="n">
        <v>36910</v>
      </c>
      <c r="O7" s="5" t="n">
        <v>621074885</v>
      </c>
      <c r="P7" s="5" t="n">
        <v>453223806</v>
      </c>
      <c r="Q7" s="5" t="n">
        <v>167851079</v>
      </c>
      <c r="R7" s="5" t="n">
        <v>40</v>
      </c>
      <c r="S7" s="5" t="n">
        <v>71</v>
      </c>
      <c r="T7" s="5" t="n">
        <v>92</v>
      </c>
      <c r="U7" s="5" t="n">
        <v>273.74</v>
      </c>
      <c r="V7" s="5" t="n">
        <v>16827</v>
      </c>
      <c r="W7" s="5" t="n">
        <v>7080</v>
      </c>
      <c r="X7" s="5" t="n">
        <v>219206427</v>
      </c>
      <c r="Y7" s="5" t="n">
        <v>320</v>
      </c>
      <c r="Z7" s="5" t="n">
        <v>96.62</v>
      </c>
      <c r="AA7" s="5" t="n">
        <v>30961</v>
      </c>
      <c r="AB7" s="5" t="n">
        <v>19</v>
      </c>
      <c r="AC7" s="5" t="n">
        <v>35.29</v>
      </c>
      <c r="AD7" s="5" t="n">
        <v>65379</v>
      </c>
      <c r="AE7" s="5" t="n">
        <v>15918</v>
      </c>
    </row>
    <row r="8">
      <c r="A8" s="5" t="n">
        <v>2025</v>
      </c>
      <c r="B8" s="5" t="inlineStr">
        <is>
          <t>May</t>
        </is>
      </c>
      <c r="C8" s="5" t="n">
        <v>7</v>
      </c>
      <c r="D8" s="5" t="n">
        <v>2645859</v>
      </c>
      <c r="E8" s="5" t="n">
        <v>24977267</v>
      </c>
      <c r="F8" s="5" t="n">
        <v>125280</v>
      </c>
      <c r="G8" s="5" t="n">
        <v>106</v>
      </c>
      <c r="H8" s="5" t="n">
        <v>21</v>
      </c>
      <c r="I8" s="5" t="n">
        <v>0.5</v>
      </c>
      <c r="J8" s="5" t="n">
        <v>4541</v>
      </c>
      <c r="K8" s="5" t="n">
        <v>583</v>
      </c>
      <c r="L8" s="5" t="n">
        <v>57682</v>
      </c>
      <c r="M8" s="5" t="n">
        <v>39501</v>
      </c>
      <c r="N8" s="5" t="n">
        <v>29507</v>
      </c>
      <c r="O8" s="5" t="n">
        <v>508913754</v>
      </c>
      <c r="P8" s="5" t="n">
        <v>332306503</v>
      </c>
      <c r="Q8" s="5" t="n">
        <v>176607250</v>
      </c>
      <c r="R8" s="5" t="n">
        <v>46</v>
      </c>
      <c r="S8" s="5" t="n">
        <v>68</v>
      </c>
      <c r="T8" s="5" t="n">
        <v>75</v>
      </c>
      <c r="U8" s="5" t="n">
        <v>192.34</v>
      </c>
      <c r="V8" s="5" t="n">
        <v>17247</v>
      </c>
      <c r="W8" s="5" t="n">
        <v>6417</v>
      </c>
      <c r="X8" s="5" t="n">
        <v>160878395</v>
      </c>
      <c r="Y8" s="5" t="n">
        <v>412</v>
      </c>
      <c r="Z8" s="5" t="n">
        <v>60.8</v>
      </c>
      <c r="AA8" s="5" t="n">
        <v>25071</v>
      </c>
      <c r="AB8" s="5" t="n">
        <v>22</v>
      </c>
      <c r="AC8" s="5" t="n">
        <v>31.61</v>
      </c>
      <c r="AD8" s="5" t="n">
        <v>51682</v>
      </c>
      <c r="AE8" s="5" t="n">
        <v>13763</v>
      </c>
    </row>
    <row r="9">
      <c r="A9" s="5" t="n">
        <v>2025</v>
      </c>
      <c r="B9" s="5" t="inlineStr">
        <is>
          <t>June</t>
        </is>
      </c>
      <c r="C9" s="5" t="n">
        <v>8</v>
      </c>
      <c r="D9" s="5" t="n">
        <v>2466356</v>
      </c>
      <c r="E9" s="5" t="n">
        <v>20012031</v>
      </c>
      <c r="F9" s="5" t="n">
        <v>133182</v>
      </c>
      <c r="G9" s="5" t="n">
        <v>123</v>
      </c>
      <c r="H9" s="5" t="n">
        <v>19</v>
      </c>
      <c r="I9" s="5" t="n">
        <v>0.67</v>
      </c>
      <c r="J9" s="5" t="n">
        <v>3760</v>
      </c>
      <c r="K9" s="5" t="n">
        <v>656</v>
      </c>
      <c r="L9" s="5" t="n">
        <v>56591</v>
      </c>
      <c r="M9" s="5" t="n">
        <v>41412</v>
      </c>
      <c r="N9" s="5" t="n">
        <v>36114</v>
      </c>
      <c r="O9" s="5" t="n">
        <v>667163529</v>
      </c>
      <c r="P9" s="5" t="n">
        <v>405475155</v>
      </c>
      <c r="Q9" s="5" t="n">
        <v>261688374</v>
      </c>
      <c r="R9" s="5" t="n">
        <v>44</v>
      </c>
      <c r="S9" s="5" t="n">
        <v>73</v>
      </c>
      <c r="T9" s="5" t="n">
        <v>87</v>
      </c>
      <c r="U9" s="5" t="n">
        <v>270.51</v>
      </c>
      <c r="V9" s="5" t="n">
        <v>18474</v>
      </c>
      <c r="W9" s="5" t="n">
        <v>7310</v>
      </c>
      <c r="X9" s="5" t="n">
        <v>196390716</v>
      </c>
      <c r="Y9" s="5" t="n">
        <v>337</v>
      </c>
      <c r="Z9" s="5" t="n">
        <v>79.63</v>
      </c>
      <c r="AA9" s="5" t="n">
        <v>26866</v>
      </c>
      <c r="AB9" s="5" t="n">
        <v>20</v>
      </c>
      <c r="AC9" s="5" t="n">
        <v>29.44</v>
      </c>
      <c r="AD9" s="5" t="n">
        <v>64161</v>
      </c>
      <c r="AE9" s="5" t="n">
        <v>16137</v>
      </c>
    </row>
    <row r="10">
      <c r="A10" s="5" t="n">
        <v>2025</v>
      </c>
      <c r="B10" s="5" t="inlineStr">
        <is>
          <t>July</t>
        </is>
      </c>
      <c r="C10" s="5" t="n">
        <v>9</v>
      </c>
      <c r="D10" s="5" t="n">
        <v>3742107</v>
      </c>
      <c r="E10" s="5" t="n">
        <v>49669038</v>
      </c>
      <c r="F10" s="5" t="n">
        <v>327261</v>
      </c>
      <c r="G10" s="5" t="n">
        <v>75</v>
      </c>
      <c r="H10" s="5" t="n">
        <v>11</v>
      </c>
      <c r="I10" s="5" t="n">
        <v>0.66</v>
      </c>
      <c r="J10" s="5" t="n">
        <v>6134</v>
      </c>
      <c r="K10" s="5" t="n">
        <v>610</v>
      </c>
      <c r="L10" s="5" t="n">
        <v>70086</v>
      </c>
      <c r="M10" s="5" t="n">
        <v>48622</v>
      </c>
      <c r="N10" s="5" t="n">
        <v>36281</v>
      </c>
      <c r="O10" s="5" t="n">
        <v>680785043</v>
      </c>
      <c r="P10" s="5" t="n">
        <v>394882706</v>
      </c>
      <c r="Q10" s="5" t="n">
        <v>285902337</v>
      </c>
      <c r="R10" s="5" t="n">
        <v>53</v>
      </c>
      <c r="S10" s="5" t="n">
        <v>69</v>
      </c>
      <c r="T10" s="5" t="n">
        <v>75</v>
      </c>
      <c r="U10" s="5" t="n">
        <v>181.93</v>
      </c>
      <c r="V10" s="5" t="n">
        <v>18764</v>
      </c>
      <c r="W10" s="5" t="n">
        <v>7788</v>
      </c>
      <c r="X10" s="5" t="n">
        <v>197932414</v>
      </c>
      <c r="Y10" s="5" t="n">
        <v>480</v>
      </c>
      <c r="Z10" s="5" t="n">
        <v>52.89</v>
      </c>
      <c r="AA10" s="5" t="n">
        <v>25415</v>
      </c>
      <c r="AB10" s="5" t="n">
        <v>21</v>
      </c>
      <c r="AC10" s="5" t="n">
        <v>29.07</v>
      </c>
      <c r="AD10" s="5" t="n">
        <v>65791</v>
      </c>
      <c r="AE10" s="5" t="n">
        <v>16813</v>
      </c>
    </row>
    <row r="11">
      <c r="A11" s="5" t="n">
        <v>2025</v>
      </c>
      <c r="B11" s="5" t="inlineStr">
        <is>
          <t>August</t>
        </is>
      </c>
      <c r="C11" s="5" t="n">
        <v>10</v>
      </c>
      <c r="D11" s="5" t="n">
        <v>2615129</v>
      </c>
      <c r="E11" s="5" t="n">
        <v>21222673</v>
      </c>
      <c r="F11" s="5" t="n">
        <v>181208</v>
      </c>
      <c r="G11" s="5" t="n">
        <v>123</v>
      </c>
      <c r="H11" s="5" t="n">
        <v>14</v>
      </c>
      <c r="I11" s="5" t="n">
        <v>0.85</v>
      </c>
      <c r="J11" s="5" t="n">
        <v>3567</v>
      </c>
      <c r="K11" s="5" t="n">
        <v>733</v>
      </c>
      <c r="L11" s="5" t="n">
        <v>74270</v>
      </c>
      <c r="M11" s="5" t="n">
        <v>51720</v>
      </c>
      <c r="N11" s="5" t="n">
        <v>38905</v>
      </c>
      <c r="O11" s="5" t="n">
        <v>594092535</v>
      </c>
      <c r="P11" s="5" t="n">
        <v>381592054</v>
      </c>
      <c r="Q11" s="5" t="n">
        <v>212500481</v>
      </c>
      <c r="R11" s="5" t="n">
        <v>35</v>
      </c>
      <c r="S11" s="5" t="n">
        <v>70</v>
      </c>
      <c r="T11" s="5" t="n">
        <v>75</v>
      </c>
      <c r="U11" s="5" t="n">
        <v>227.18</v>
      </c>
      <c r="V11" s="5" t="n">
        <v>15270</v>
      </c>
      <c r="W11" s="5" t="n">
        <v>8049</v>
      </c>
      <c r="X11" s="5" t="n">
        <v>176317559</v>
      </c>
      <c r="Y11" s="5" t="n">
        <v>325</v>
      </c>
      <c r="Z11" s="5" t="n">
        <v>67.42</v>
      </c>
      <c r="AA11" s="5" t="n">
        <v>21906</v>
      </c>
      <c r="AB11" s="5" t="n">
        <v>21</v>
      </c>
      <c r="AC11" s="5" t="n">
        <v>29.68</v>
      </c>
      <c r="AD11" s="5" t="n">
        <v>71195</v>
      </c>
      <c r="AE11" s="5" t="n">
        <v>17137</v>
      </c>
    </row>
    <row r="12">
      <c r="A12" s="5" t="n">
        <v>2025</v>
      </c>
      <c r="B12" s="5" t="inlineStr">
        <is>
          <t>September</t>
        </is>
      </c>
      <c r="C12" s="5" t="n">
        <v>11</v>
      </c>
      <c r="D12" s="5" t="n">
        <v>1781732</v>
      </c>
      <c r="E12" s="5" t="n">
        <v>14720543</v>
      </c>
      <c r="F12" s="5" t="n">
        <v>173614</v>
      </c>
      <c r="G12" s="5" t="n">
        <v>121</v>
      </c>
      <c r="H12" s="5" t="n">
        <v>10</v>
      </c>
      <c r="I12" s="5" t="n">
        <v>1.18</v>
      </c>
      <c r="J12" s="5" t="n">
        <v>8369</v>
      </c>
      <c r="K12" s="5" t="n">
        <v>213</v>
      </c>
      <c r="L12" s="5" t="n">
        <v>78393</v>
      </c>
      <c r="M12" s="5" t="n">
        <v>52816</v>
      </c>
      <c r="N12" s="5" t="n">
        <v>34196</v>
      </c>
      <c r="O12" s="5" t="n">
        <v>745082575</v>
      </c>
      <c r="P12" s="5" t="n">
        <v>417186283</v>
      </c>
      <c r="Q12" s="5" t="n">
        <v>327896293</v>
      </c>
      <c r="R12" s="5" t="n">
        <v>23</v>
      </c>
      <c r="S12" s="5" t="n">
        <v>67</v>
      </c>
      <c r="T12" s="5" t="n">
        <v>65</v>
      </c>
      <c r="U12" s="5" t="n">
        <v>418.18</v>
      </c>
      <c r="V12" s="5" t="n">
        <v>21789</v>
      </c>
      <c r="W12" s="5" t="n">
        <v>7877</v>
      </c>
      <c r="X12" s="5" t="n">
        <v>207383745</v>
      </c>
      <c r="Y12" s="5" t="n">
        <v>226</v>
      </c>
      <c r="Z12" s="5" t="n">
        <v>116.39</v>
      </c>
      <c r="AA12" s="5" t="n">
        <v>26328</v>
      </c>
      <c r="AB12" s="5" t="n">
        <v>23</v>
      </c>
      <c r="AC12" s="5" t="n">
        <v>27.83</v>
      </c>
      <c r="AD12" s="5" t="n">
        <v>66492</v>
      </c>
      <c r="AE12" s="5" t="n">
        <v>17509</v>
      </c>
    </row>
    <row r="13">
      <c r="A13" s="5" t="n">
        <v>2025</v>
      </c>
      <c r="B13" s="5" t="inlineStr">
        <is>
          <t>October</t>
        </is>
      </c>
      <c r="C13" s="5" t="n">
        <v>12</v>
      </c>
      <c r="D13" s="5" t="n">
        <v>2056651</v>
      </c>
      <c r="E13" s="5" t="n">
        <v>9324238</v>
      </c>
      <c r="F13" s="5" t="n">
        <v>413476</v>
      </c>
      <c r="G13" s="5" t="n">
        <v>221</v>
      </c>
      <c r="H13" s="5" t="n">
        <v>5</v>
      </c>
      <c r="I13" s="5" t="n">
        <v>4.43</v>
      </c>
      <c r="J13" s="5" t="n">
        <v>3512</v>
      </c>
      <c r="K13" s="5" t="n">
        <v>586</v>
      </c>
      <c r="L13" s="5" t="n">
        <v>71260</v>
      </c>
      <c r="M13" s="5" t="n">
        <v>50672</v>
      </c>
      <c r="N13" s="5" t="n">
        <v>30735</v>
      </c>
      <c r="O13" s="5" t="n">
        <v>662424512</v>
      </c>
      <c r="P13" s="5" t="n">
        <v>385070189</v>
      </c>
      <c r="Q13" s="5" t="n">
        <v>277354323</v>
      </c>
      <c r="R13" s="5" t="n">
        <v>29</v>
      </c>
      <c r="S13" s="5" t="n">
        <v>71</v>
      </c>
      <c r="T13" s="5" t="n">
        <v>61</v>
      </c>
      <c r="U13" s="5" t="n">
        <v>322.09</v>
      </c>
      <c r="V13" s="5" t="n">
        <v>21553</v>
      </c>
      <c r="W13" s="5" t="n">
        <v>7350</v>
      </c>
      <c r="X13" s="5" t="n">
        <v>216933118</v>
      </c>
      <c r="Y13" s="5" t="n">
        <v>280</v>
      </c>
      <c r="Z13" s="5" t="n">
        <v>105.48</v>
      </c>
      <c r="AA13" s="5" t="n">
        <v>29515</v>
      </c>
      <c r="AB13" s="5" t="n">
        <v>24</v>
      </c>
      <c r="AC13" s="5" t="n">
        <v>32.75</v>
      </c>
      <c r="AD13" s="5" t="n">
        <v>58042</v>
      </c>
      <c r="AE13" s="5" t="n">
        <v>16564</v>
      </c>
    </row>
    <row r="14">
      <c r="A14" t="inlineStr">
        <is>
          <t>TTM</t>
        </is>
      </c>
      <c r="B14" t="inlineStr">
        <is>
          <t>Nov24-Oct25</t>
        </is>
      </c>
      <c r="C14" t="inlineStr">
        <is>
          <t>12</t>
        </is>
      </c>
      <c r="D14" s="6">
        <f>SUM(D2:D13)</f>
        <v/>
      </c>
      <c r="E14" s="6">
        <f>SUM(E2:E13)</f>
        <v/>
      </c>
      <c r="F14" s="6">
        <f>SUM(F2:F13)</f>
        <v/>
      </c>
      <c r="G14" s="6">
        <f>AVERAGE(G2:G13)</f>
        <v/>
      </c>
      <c r="H14" s="6">
        <f>AVERAGE(H2:H13)</f>
        <v/>
      </c>
      <c r="I14" s="6">
        <f>AVERAGE(I2:I13)</f>
        <v/>
      </c>
      <c r="J14" s="6">
        <f>AVERAGE(J2:J13)</f>
        <v/>
      </c>
      <c r="K14" s="6">
        <f>AVERAGE(K2:K13)</f>
        <v/>
      </c>
      <c r="L14" s="6">
        <f>SUM(L2:L13)</f>
        <v/>
      </c>
      <c r="M14" s="6">
        <f>SUM(M2:M13)</f>
        <v/>
      </c>
      <c r="N14" s="6">
        <f>SUM(N2:N13)</f>
        <v/>
      </c>
      <c r="O14" s="6">
        <f>SUM(O2:O13)</f>
        <v/>
      </c>
      <c r="P14" s="6">
        <f>SUM(P2:P13)</f>
        <v/>
      </c>
      <c r="Q14" s="6">
        <f>SUM(Q2:Q13)</f>
        <v/>
      </c>
      <c r="R14" s="6">
        <f>AVERAGE(R2:R13)</f>
        <v/>
      </c>
      <c r="S14" s="6">
        <f>AVERAGE(S2:S13)</f>
        <v/>
      </c>
      <c r="T14" s="6">
        <f>AVERAGE(T2:T13)</f>
        <v/>
      </c>
      <c r="U14" s="6">
        <f>AVERAGE(U2:U13)</f>
        <v/>
      </c>
      <c r="V14" s="6">
        <f>SUM(V2:V13)</f>
        <v/>
      </c>
      <c r="W14" s="6">
        <f>SUM(W2:W13)</f>
        <v/>
      </c>
      <c r="X14" s="6">
        <f>AVERAGE(X2:X13)</f>
        <v/>
      </c>
      <c r="Y14" s="6">
        <f>AVERAGE(Y2:Y13)</f>
        <v/>
      </c>
      <c r="Z14" s="6">
        <f>AVERAGE(Z2:Z13)</f>
        <v/>
      </c>
      <c r="AA14" s="6">
        <f>SUM(AA2:AA13)</f>
        <v/>
      </c>
      <c r="AB14" s="6">
        <f>SUM(AB2:AB13)</f>
        <v/>
      </c>
      <c r="AC14" s="6">
        <f>AVERAGE(AC2:AC13)</f>
        <v/>
      </c>
      <c r="AD14" s="6">
        <f>AVERAGE(AD2:AD13)</f>
        <v/>
      </c>
      <c r="AE14" s="6">
        <f>AVERAGE(AE2:AE13)</f>
        <v/>
      </c>
    </row>
    <row r="15">
      <c r="A15" t="inlineStr">
        <is>
          <t>3M_Avg</t>
        </is>
      </c>
      <c r="B15" t="inlineStr">
        <is>
          <t>Aug-Oct</t>
        </is>
      </c>
      <c r="C15" t="inlineStr">
        <is>
          <t>3</t>
        </is>
      </c>
      <c r="D15" s="7">
        <f>AVERAGE(D11:D13)</f>
        <v/>
      </c>
      <c r="E15" s="7">
        <f>AVERAGE(E11:E13)</f>
        <v/>
      </c>
      <c r="F15" s="7">
        <f>AVERAGE(F11:F13)</f>
        <v/>
      </c>
      <c r="G15" s="7">
        <f>AVERAGE(G11:G13)</f>
        <v/>
      </c>
      <c r="H15" s="7">
        <f>AVERAGE(H11:H13)</f>
        <v/>
      </c>
      <c r="I15" s="7">
        <f>AVERAGE(I11:I13)</f>
        <v/>
      </c>
      <c r="J15" s="7">
        <f>AVERAGE(J11:J13)</f>
        <v/>
      </c>
      <c r="K15" s="7">
        <f>AVERAGE(K11:K13)</f>
        <v/>
      </c>
      <c r="L15" s="7">
        <f>AVERAGE(L11:L13)</f>
        <v/>
      </c>
      <c r="M15" s="7">
        <f>AVERAGE(M11:M13)</f>
        <v/>
      </c>
      <c r="N15" s="7">
        <f>AVERAGE(N11:N13)</f>
        <v/>
      </c>
      <c r="O15" s="7">
        <f>AVERAGE(O11:O13)</f>
        <v/>
      </c>
      <c r="P15" s="7">
        <f>AVERAGE(P11:P13)</f>
        <v/>
      </c>
      <c r="Q15" s="7">
        <f>AVERAGE(Q11:Q13)</f>
        <v/>
      </c>
      <c r="R15" s="7">
        <f>AVERAGE(R11:R13)</f>
        <v/>
      </c>
      <c r="S15" s="7">
        <f>AVERAGE(S11:S13)</f>
        <v/>
      </c>
      <c r="T15" s="7">
        <f>AVERAGE(T11:T13)</f>
        <v/>
      </c>
      <c r="U15" s="7">
        <f>AVERAGE(U11:U13)</f>
        <v/>
      </c>
      <c r="V15" s="7">
        <f>AVERAGE(V11:V13)</f>
        <v/>
      </c>
      <c r="W15" s="7">
        <f>AVERAGE(W11:W13)</f>
        <v/>
      </c>
      <c r="X15" s="7">
        <f>AVERAGE(X11:X13)</f>
        <v/>
      </c>
      <c r="Y15" s="7">
        <f>AVERAGE(Y11:Y13)</f>
        <v/>
      </c>
      <c r="Z15" s="7">
        <f>AVERAGE(Z11:Z13)</f>
        <v/>
      </c>
      <c r="AA15" s="7">
        <f>AVERAGE(AA11:AA13)</f>
        <v/>
      </c>
      <c r="AB15" s="7">
        <f>AVERAGE(AB11:AB13)</f>
        <v/>
      </c>
      <c r="AC15" s="7">
        <f>AVERAGE(AC11:AC13)</f>
        <v/>
      </c>
      <c r="AD15" s="7">
        <f>AVERAGE(AD11:AD13)</f>
        <v/>
      </c>
      <c r="AE15" s="7">
        <f>AVERAGE(AE11:AE13)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Year</t>
        </is>
      </c>
      <c r="B1" s="2" t="inlineStr">
        <is>
          <t>Month</t>
        </is>
      </c>
      <c r="C1" s="2" t="inlineStr">
        <is>
          <t>Perf_Spends</t>
        </is>
      </c>
      <c r="D1" s="2" t="inlineStr">
        <is>
          <t>Impressions</t>
        </is>
      </c>
      <c r="E1" s="2" t="inlineStr">
        <is>
          <t>Clicks</t>
        </is>
      </c>
      <c r="F1" s="2" t="inlineStr">
        <is>
          <t>Leads</t>
        </is>
      </c>
      <c r="G1" s="2" t="inlineStr">
        <is>
          <t>AS</t>
        </is>
      </c>
      <c r="H1" s="2" t="inlineStr">
        <is>
          <t>Walkin</t>
        </is>
      </c>
      <c r="I1" s="2" t="inlineStr">
        <is>
          <t>Total_Rev</t>
        </is>
      </c>
      <c r="J1" s="2" t="inlineStr">
        <is>
          <t>Exist_Rev</t>
        </is>
      </c>
      <c r="K1" s="2" t="inlineStr">
        <is>
          <t>NCA</t>
        </is>
      </c>
      <c r="L1" s="2" t="inlineStr">
        <is>
          <t>New_Rev</t>
        </is>
      </c>
    </row>
    <row r="2">
      <c r="A2" t="n">
        <v>2024</v>
      </c>
      <c r="B2" t="inlineStr">
        <is>
          <t>November</t>
        </is>
      </c>
      <c r="C2" t="n">
        <v>4149705</v>
      </c>
      <c r="D2" t="n">
        <v>18574646</v>
      </c>
      <c r="E2" t="n">
        <v>1446494</v>
      </c>
      <c r="F2" t="n">
        <v>54944</v>
      </c>
      <c r="G2" t="n">
        <v>1625</v>
      </c>
      <c r="H2" t="n">
        <v>1352</v>
      </c>
      <c r="I2" t="n">
        <v>21735754</v>
      </c>
      <c r="J2" t="n">
        <v>16719811</v>
      </c>
      <c r="K2" t="n">
        <v>237</v>
      </c>
      <c r="L2" t="n">
        <v>9768803</v>
      </c>
    </row>
    <row r="3">
      <c r="A3" t="n">
        <v>2024</v>
      </c>
      <c r="B3" t="inlineStr">
        <is>
          <t>December</t>
        </is>
      </c>
      <c r="C3" t="n">
        <v>3640526</v>
      </c>
      <c r="D3" t="n">
        <v>14958714</v>
      </c>
      <c r="E3" t="n">
        <v>1267608</v>
      </c>
      <c r="F3" t="n">
        <v>40642</v>
      </c>
      <c r="G3" t="n">
        <v>1033</v>
      </c>
      <c r="H3" t="n">
        <v>846</v>
      </c>
      <c r="I3" t="n">
        <v>18444130</v>
      </c>
      <c r="J3" t="n">
        <v>12003021</v>
      </c>
      <c r="K3" t="n">
        <v>148</v>
      </c>
      <c r="L3" t="n">
        <v>4652470</v>
      </c>
    </row>
    <row r="4">
      <c r="A4" t="n">
        <v>2025</v>
      </c>
      <c r="B4" t="inlineStr">
        <is>
          <t>January</t>
        </is>
      </c>
      <c r="C4" t="n">
        <v>1835813</v>
      </c>
      <c r="D4" t="n">
        <v>5540980</v>
      </c>
      <c r="E4" t="n">
        <v>495565</v>
      </c>
      <c r="F4" t="n">
        <v>20191</v>
      </c>
      <c r="G4" t="n">
        <v>3503</v>
      </c>
      <c r="H4" t="n">
        <v>2649</v>
      </c>
      <c r="I4" t="n">
        <v>47064190</v>
      </c>
      <c r="J4" t="n">
        <v>35810455</v>
      </c>
      <c r="K4" t="n">
        <v>468</v>
      </c>
      <c r="L4" t="n">
        <v>14360537</v>
      </c>
    </row>
    <row r="5">
      <c r="A5" t="n">
        <v>2025</v>
      </c>
      <c r="B5" t="inlineStr">
        <is>
          <t>February</t>
        </is>
      </c>
      <c r="C5" t="n">
        <v>1798760</v>
      </c>
      <c r="D5" t="n">
        <v>5715661</v>
      </c>
      <c r="E5" t="n">
        <v>507035</v>
      </c>
      <c r="F5" t="n">
        <v>24486</v>
      </c>
      <c r="G5" t="n">
        <v>5533</v>
      </c>
      <c r="H5" t="n">
        <v>4292</v>
      </c>
      <c r="I5" t="n">
        <v>63657904</v>
      </c>
      <c r="J5" t="n">
        <v>53396504</v>
      </c>
      <c r="K5" t="n">
        <v>790</v>
      </c>
      <c r="L5" t="n">
        <v>19331196</v>
      </c>
    </row>
    <row r="6">
      <c r="A6" t="n">
        <v>2025</v>
      </c>
      <c r="B6" t="inlineStr">
        <is>
          <t>March</t>
        </is>
      </c>
      <c r="C6" t="n">
        <v>1772998</v>
      </c>
      <c r="D6" t="n">
        <v>2086448</v>
      </c>
      <c r="E6" t="n">
        <v>162795</v>
      </c>
      <c r="F6" t="n">
        <v>10185</v>
      </c>
      <c r="G6" t="n">
        <v>3947</v>
      </c>
      <c r="H6" t="n">
        <v>3308</v>
      </c>
      <c r="I6" t="n">
        <v>48125140</v>
      </c>
      <c r="J6" t="n">
        <v>35167233</v>
      </c>
      <c r="K6" t="n">
        <v>622</v>
      </c>
      <c r="L6" t="n">
        <v>15152545</v>
      </c>
    </row>
    <row r="7">
      <c r="A7" t="n">
        <v>2025</v>
      </c>
      <c r="B7" t="inlineStr">
        <is>
          <t>April</t>
        </is>
      </c>
      <c r="C7" t="n">
        <v>1454026</v>
      </c>
      <c r="D7" t="n">
        <v>350527</v>
      </c>
      <c r="E7" t="n">
        <v>17193</v>
      </c>
      <c r="F7" t="n">
        <v>4421</v>
      </c>
      <c r="G7" t="n">
        <v>2841</v>
      </c>
      <c r="H7" t="n">
        <v>2434</v>
      </c>
      <c r="I7" t="n">
        <v>44478156</v>
      </c>
      <c r="J7" t="n">
        <v>32982040</v>
      </c>
      <c r="K7" t="n">
        <v>510</v>
      </c>
      <c r="L7" t="n">
        <v>15810449</v>
      </c>
    </row>
    <row r="8">
      <c r="A8" t="n">
        <v>2025</v>
      </c>
      <c r="B8" t="inlineStr">
        <is>
          <t>May</t>
        </is>
      </c>
      <c r="C8" t="n">
        <v>1353780</v>
      </c>
      <c r="D8" t="n">
        <v>391216</v>
      </c>
      <c r="E8" t="n">
        <v>16134</v>
      </c>
      <c r="F8" t="n">
        <v>4211</v>
      </c>
      <c r="G8" t="n">
        <v>2703</v>
      </c>
      <c r="H8" t="n">
        <v>1750</v>
      </c>
      <c r="I8" t="n">
        <v>36161226</v>
      </c>
      <c r="J8" t="n">
        <v>23498499</v>
      </c>
      <c r="K8" t="n">
        <v>530</v>
      </c>
      <c r="L8" t="n">
        <v>8924367</v>
      </c>
    </row>
    <row r="9">
      <c r="A9" t="n">
        <v>2025</v>
      </c>
      <c r="B9" t="inlineStr">
        <is>
          <t>June</t>
        </is>
      </c>
      <c r="C9" t="n">
        <v>1261033</v>
      </c>
      <c r="D9" t="n">
        <v>812196</v>
      </c>
      <c r="E9" t="n">
        <v>44959</v>
      </c>
      <c r="F9" t="n">
        <v>5247</v>
      </c>
      <c r="G9" t="n">
        <v>3459</v>
      </c>
      <c r="H9" t="n">
        <v>2031</v>
      </c>
      <c r="I9" t="n">
        <v>46070314</v>
      </c>
      <c r="J9" t="n">
        <v>27773082</v>
      </c>
      <c r="K9" t="n">
        <v>580</v>
      </c>
      <c r="L9" t="n">
        <v>12220722</v>
      </c>
    </row>
    <row r="10">
      <c r="A10" t="n">
        <v>2025</v>
      </c>
      <c r="B10" t="inlineStr">
        <is>
          <t>July</t>
        </is>
      </c>
      <c r="C10" t="n">
        <v>1575980</v>
      </c>
      <c r="D10" t="n">
        <v>1347480</v>
      </c>
      <c r="E10" t="n">
        <v>104109</v>
      </c>
      <c r="F10" t="n">
        <v>9424</v>
      </c>
      <c r="G10" t="n">
        <v>5650</v>
      </c>
      <c r="H10" t="n">
        <v>3642</v>
      </c>
      <c r="I10" t="n">
        <v>72573645</v>
      </c>
      <c r="J10" t="n">
        <v>49878136</v>
      </c>
      <c r="K10" t="n">
        <v>1079</v>
      </c>
      <c r="L10" t="n">
        <v>23147943</v>
      </c>
    </row>
    <row r="11">
      <c r="A11" t="n">
        <v>2025</v>
      </c>
      <c r="B11" t="inlineStr">
        <is>
          <t>August</t>
        </is>
      </c>
      <c r="C11" t="n">
        <v>1362648</v>
      </c>
      <c r="D11" t="n">
        <v>1143884</v>
      </c>
      <c r="E11" t="n">
        <v>91284</v>
      </c>
      <c r="F11" t="n">
        <v>10194</v>
      </c>
      <c r="G11" t="n">
        <v>6257</v>
      </c>
      <c r="H11" t="n">
        <v>3709</v>
      </c>
      <c r="I11" t="n">
        <v>68719694</v>
      </c>
      <c r="J11" t="n">
        <v>53395403</v>
      </c>
      <c r="K11" t="n">
        <v>997</v>
      </c>
      <c r="L11" t="n">
        <v>26068864</v>
      </c>
    </row>
    <row r="12">
      <c r="A12" t="n">
        <v>2025</v>
      </c>
      <c r="B12" t="inlineStr">
        <is>
          <t>September</t>
        </is>
      </c>
      <c r="C12" t="n">
        <v>1452432</v>
      </c>
      <c r="D12" t="n">
        <v>1793153</v>
      </c>
      <c r="E12" t="n">
        <v>91035</v>
      </c>
      <c r="F12" t="n">
        <v>3595</v>
      </c>
      <c r="G12" t="n">
        <v>2229</v>
      </c>
      <c r="H12" t="n">
        <v>1432</v>
      </c>
      <c r="I12" t="n">
        <v>38023638</v>
      </c>
      <c r="J12" t="n">
        <v>18559696</v>
      </c>
      <c r="K12" t="n">
        <v>320</v>
      </c>
      <c r="L12" t="n">
        <v>10205045</v>
      </c>
    </row>
    <row r="13">
      <c r="A13" t="n">
        <v>2025</v>
      </c>
      <c r="B13" t="inlineStr">
        <is>
          <t>October</t>
        </is>
      </c>
      <c r="C13" t="n">
        <v>1938412</v>
      </c>
      <c r="D13" t="n">
        <v>5113281</v>
      </c>
      <c r="E13" t="n">
        <v>376933</v>
      </c>
      <c r="F13" t="n">
        <v>4038</v>
      </c>
      <c r="G13" t="n">
        <v>2227</v>
      </c>
      <c r="H13" t="n">
        <v>1471</v>
      </c>
      <c r="I13" t="n">
        <v>34727877</v>
      </c>
      <c r="J13" t="n">
        <v>17648919</v>
      </c>
      <c r="K13" t="n">
        <v>298</v>
      </c>
      <c r="L13" t="n">
        <v>10225071</v>
      </c>
    </row>
    <row r="14">
      <c r="A14" t="inlineStr">
        <is>
          <t>TTM</t>
        </is>
      </c>
      <c r="C14">
        <f>SUM(C2:C13)</f>
        <v/>
      </c>
      <c r="D14">
        <f>SUM(D2:D13)</f>
        <v/>
      </c>
      <c r="E14">
        <f>SUM(E2:E13)</f>
        <v/>
      </c>
      <c r="F14">
        <f>SUM(F2:F13)</f>
        <v/>
      </c>
      <c r="G14">
        <f>SUM(G2:G13)</f>
        <v/>
      </c>
      <c r="H14">
        <f>SUM(H2:H13)</f>
        <v/>
      </c>
      <c r="I14">
        <f>SUM(I2:I13)</f>
        <v/>
      </c>
      <c r="J14">
        <f>SUM(J2:J13)</f>
        <v/>
      </c>
      <c r="K14">
        <f>SUM(K2:K13)</f>
        <v/>
      </c>
      <c r="L14">
        <f>SUM(L2:L13)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Year</t>
        </is>
      </c>
      <c r="B1" s="2" t="inlineStr">
        <is>
          <t>Month</t>
        </is>
      </c>
      <c r="C1" s="2" t="inlineStr">
        <is>
          <t>Perf_Spends</t>
        </is>
      </c>
      <c r="D1" s="2" t="inlineStr">
        <is>
          <t>Impressions</t>
        </is>
      </c>
      <c r="E1" s="2" t="inlineStr">
        <is>
          <t>Clicks</t>
        </is>
      </c>
      <c r="F1" s="2" t="inlineStr">
        <is>
          <t>Leads</t>
        </is>
      </c>
      <c r="G1" s="2" t="inlineStr">
        <is>
          <t>AS</t>
        </is>
      </c>
      <c r="H1" s="2" t="inlineStr">
        <is>
          <t>Walkin</t>
        </is>
      </c>
      <c r="I1" s="2" t="inlineStr">
        <is>
          <t>Total_Rev</t>
        </is>
      </c>
      <c r="J1" s="2" t="inlineStr">
        <is>
          <t>Exist_Rev</t>
        </is>
      </c>
      <c r="K1" s="2" t="inlineStr">
        <is>
          <t>NCA</t>
        </is>
      </c>
      <c r="L1" s="2" t="inlineStr">
        <is>
          <t>New_Rev</t>
        </is>
      </c>
    </row>
    <row r="2">
      <c r="A2" t="n">
        <v>2024</v>
      </c>
      <c r="B2" t="inlineStr">
        <is>
          <t>November</t>
        </is>
      </c>
      <c r="C2" t="n">
        <v>848797</v>
      </c>
      <c r="D2" t="n">
        <v>9856001</v>
      </c>
      <c r="E2" t="n">
        <v>24829</v>
      </c>
      <c r="F2" t="n">
        <v>436</v>
      </c>
      <c r="G2" t="n">
        <v>15</v>
      </c>
      <c r="H2" t="n">
        <v>59</v>
      </c>
      <c r="I2" t="n">
        <v>2865972</v>
      </c>
      <c r="J2" t="n">
        <v>2809776</v>
      </c>
      <c r="K2" t="n">
        <v>0</v>
      </c>
      <c r="L2" t="n">
        <v>0</v>
      </c>
    </row>
    <row r="3">
      <c r="A3" t="n">
        <v>2024</v>
      </c>
      <c r="B3" t="inlineStr">
        <is>
          <t>December</t>
        </is>
      </c>
      <c r="C3" t="n">
        <v>838365</v>
      </c>
      <c r="D3" t="n">
        <v>6615299</v>
      </c>
      <c r="E3" t="n">
        <v>16033</v>
      </c>
      <c r="F3" t="n">
        <v>583</v>
      </c>
      <c r="G3" t="n">
        <v>62</v>
      </c>
      <c r="H3" t="n">
        <v>123</v>
      </c>
      <c r="I3" t="n">
        <v>3921010</v>
      </c>
      <c r="J3" t="n">
        <v>3849220</v>
      </c>
      <c r="K3" t="n">
        <v>0</v>
      </c>
      <c r="L3" t="n">
        <v>0</v>
      </c>
    </row>
    <row r="4">
      <c r="A4" t="n">
        <v>2025</v>
      </c>
      <c r="B4" t="inlineStr">
        <is>
          <t>January</t>
        </is>
      </c>
      <c r="C4" t="n">
        <v>275692</v>
      </c>
      <c r="D4" t="n">
        <v>2849170</v>
      </c>
      <c r="E4" t="n">
        <v>9403</v>
      </c>
      <c r="F4" t="n">
        <v>68</v>
      </c>
      <c r="G4" t="n">
        <v>1</v>
      </c>
      <c r="H4" t="n">
        <v>4</v>
      </c>
      <c r="I4" t="n">
        <v>78798</v>
      </c>
      <c r="J4" t="n">
        <v>4650</v>
      </c>
      <c r="K4" t="n">
        <v>0</v>
      </c>
      <c r="L4" t="n">
        <v>0</v>
      </c>
    </row>
    <row r="5">
      <c r="A5" t="n">
        <v>2025</v>
      </c>
      <c r="B5" t="inlineStr">
        <is>
          <t>February</t>
        </is>
      </c>
      <c r="C5" t="n">
        <v>299822</v>
      </c>
      <c r="D5" t="n">
        <v>3844184</v>
      </c>
      <c r="E5" t="n">
        <v>15194</v>
      </c>
      <c r="F5" t="n">
        <v>4</v>
      </c>
      <c r="G5" t="n">
        <v>1</v>
      </c>
      <c r="H5" t="n">
        <v>3</v>
      </c>
      <c r="I5" t="n">
        <v>101857</v>
      </c>
      <c r="J5" t="n">
        <v>3000</v>
      </c>
      <c r="K5" t="n">
        <v>0</v>
      </c>
      <c r="L5" t="n">
        <v>0</v>
      </c>
    </row>
    <row r="6">
      <c r="A6" t="n">
        <v>2025</v>
      </c>
      <c r="B6" t="inlineStr">
        <is>
          <t>March</t>
        </is>
      </c>
      <c r="C6" t="n">
        <v>890641</v>
      </c>
      <c r="D6" t="n">
        <v>7497617</v>
      </c>
      <c r="E6" t="n">
        <v>29513</v>
      </c>
      <c r="F6" t="n">
        <v>1570</v>
      </c>
      <c r="G6" t="n">
        <v>476</v>
      </c>
      <c r="H6" t="n">
        <v>147</v>
      </c>
      <c r="I6" t="n">
        <v>934876</v>
      </c>
      <c r="J6" t="n">
        <v>840163</v>
      </c>
      <c r="K6" t="n">
        <v>0</v>
      </c>
      <c r="L6" t="n">
        <v>0</v>
      </c>
    </row>
    <row r="7">
      <c r="A7" t="n">
        <v>2025</v>
      </c>
      <c r="B7" t="inlineStr">
        <is>
          <t>April</t>
        </is>
      </c>
      <c r="C7" t="n">
        <v>814801</v>
      </c>
      <c r="D7" t="n">
        <v>7993251</v>
      </c>
      <c r="E7" t="n">
        <v>32540</v>
      </c>
      <c r="F7" t="n">
        <v>1188</v>
      </c>
      <c r="G7" t="n">
        <v>319</v>
      </c>
      <c r="H7" t="n">
        <v>102</v>
      </c>
      <c r="I7" t="n">
        <v>836984</v>
      </c>
      <c r="J7" t="n">
        <v>766387</v>
      </c>
      <c r="K7" t="n">
        <v>0</v>
      </c>
      <c r="L7" t="n">
        <v>0</v>
      </c>
    </row>
    <row r="8">
      <c r="A8" t="n">
        <v>2025</v>
      </c>
      <c r="B8" t="inlineStr">
        <is>
          <t>May</t>
        </is>
      </c>
      <c r="C8" t="n">
        <v>1292079</v>
      </c>
      <c r="D8" t="n">
        <v>24586051</v>
      </c>
      <c r="E8" t="n">
        <v>109146</v>
      </c>
      <c r="F8" t="n">
        <v>2057</v>
      </c>
      <c r="G8" t="n">
        <v>89</v>
      </c>
      <c r="H8" t="n">
        <v>30</v>
      </c>
      <c r="I8" t="n">
        <v>424920</v>
      </c>
      <c r="J8" t="n">
        <v>330373</v>
      </c>
      <c r="K8" t="n">
        <v>15</v>
      </c>
      <c r="L8" t="n">
        <v>85899</v>
      </c>
    </row>
    <row r="9">
      <c r="A9" t="n">
        <v>2025</v>
      </c>
      <c r="B9" t="inlineStr">
        <is>
          <t>June</t>
        </is>
      </c>
      <c r="C9" t="n">
        <v>1205323</v>
      </c>
      <c r="D9" t="n">
        <v>19199835</v>
      </c>
      <c r="E9" t="n">
        <v>88223</v>
      </c>
      <c r="F9" t="n">
        <v>178</v>
      </c>
      <c r="G9" t="n">
        <v>44</v>
      </c>
      <c r="H9" t="n">
        <v>60</v>
      </c>
      <c r="I9" t="n">
        <v>886490</v>
      </c>
      <c r="J9" t="n">
        <v>635644</v>
      </c>
      <c r="K9" t="n">
        <v>25</v>
      </c>
      <c r="L9" t="n">
        <v>356267</v>
      </c>
    </row>
    <row r="10">
      <c r="A10" t="n">
        <v>2025</v>
      </c>
      <c r="B10" t="inlineStr">
        <is>
          <t>July</t>
        </is>
      </c>
      <c r="C10" t="n">
        <v>2166127</v>
      </c>
      <c r="D10" t="n">
        <v>48321558</v>
      </c>
      <c r="E10" t="n">
        <v>223152</v>
      </c>
      <c r="F10" t="n">
        <v>2976</v>
      </c>
      <c r="G10" t="n">
        <v>93</v>
      </c>
      <c r="H10" t="n">
        <v>126</v>
      </c>
      <c r="I10" t="n">
        <v>3146439</v>
      </c>
      <c r="J10" t="n">
        <v>2786644</v>
      </c>
      <c r="K10" t="n">
        <v>52</v>
      </c>
      <c r="L10" t="n">
        <v>2115176</v>
      </c>
    </row>
    <row r="11">
      <c r="A11" t="n">
        <v>2025</v>
      </c>
      <c r="B11" t="inlineStr">
        <is>
          <t>August</t>
        </is>
      </c>
      <c r="C11" t="n">
        <v>1252481</v>
      </c>
      <c r="D11" t="n">
        <v>20078789</v>
      </c>
      <c r="E11" t="n">
        <v>89924</v>
      </c>
      <c r="F11" t="n">
        <v>1666</v>
      </c>
      <c r="G11" t="n">
        <v>51</v>
      </c>
      <c r="H11" t="n">
        <v>234</v>
      </c>
      <c r="I11" t="n">
        <v>2205523</v>
      </c>
      <c r="J11" t="n">
        <v>2093234</v>
      </c>
      <c r="K11" t="n">
        <v>79</v>
      </c>
      <c r="L11" t="n">
        <v>1678889</v>
      </c>
    </row>
    <row r="12">
      <c r="A12" t="n">
        <v>2025</v>
      </c>
      <c r="B12" t="inlineStr">
        <is>
          <t>September</t>
        </is>
      </c>
      <c r="C12" t="n">
        <v>329300</v>
      </c>
      <c r="D12" t="n">
        <v>12927390</v>
      </c>
      <c r="E12" t="n">
        <v>82579</v>
      </c>
      <c r="F12" t="n">
        <v>404</v>
      </c>
      <c r="G12" t="n">
        <v>5</v>
      </c>
      <c r="H12" t="n">
        <v>8</v>
      </c>
      <c r="I12" t="n">
        <v>157505</v>
      </c>
      <c r="J12" t="n">
        <v>11650</v>
      </c>
      <c r="K12" t="n">
        <v>0</v>
      </c>
      <c r="L12" t="n">
        <v>0</v>
      </c>
    </row>
    <row r="13">
      <c r="A13" t="n">
        <v>2025</v>
      </c>
      <c r="B13" t="inlineStr">
        <is>
          <t>October</t>
        </is>
      </c>
      <c r="C13" t="n">
        <v>118239</v>
      </c>
      <c r="D13" t="n">
        <v>4210957</v>
      </c>
      <c r="E13" t="n">
        <v>36543</v>
      </c>
      <c r="F13" t="n">
        <v>17</v>
      </c>
      <c r="G13" t="n">
        <v>0</v>
      </c>
      <c r="H13" t="n">
        <v>3</v>
      </c>
      <c r="I13" t="n">
        <v>140264</v>
      </c>
      <c r="J13" t="n">
        <v>5450</v>
      </c>
      <c r="K13" t="n">
        <v>0</v>
      </c>
      <c r="L13" t="n">
        <v>0</v>
      </c>
    </row>
    <row r="14">
      <c r="A14" t="inlineStr">
        <is>
          <t>TTM</t>
        </is>
      </c>
      <c r="C14">
        <f>SUM(C2:C13)</f>
        <v/>
      </c>
      <c r="D14">
        <f>SUM(D2:D13)</f>
        <v/>
      </c>
      <c r="E14">
        <f>SUM(E2:E13)</f>
        <v/>
      </c>
      <c r="F14">
        <f>SUM(F2:F13)</f>
        <v/>
      </c>
      <c r="G14">
        <f>SUM(G2:G13)</f>
        <v/>
      </c>
      <c r="H14">
        <f>SUM(H2:H13)</f>
        <v/>
      </c>
      <c r="I14">
        <f>SUM(I2:I13)</f>
        <v/>
      </c>
      <c r="J14">
        <f>SUM(J2:J13)</f>
        <v/>
      </c>
      <c r="K14">
        <f>SUM(K2:K13)</f>
        <v/>
      </c>
      <c r="L14">
        <f>SUM(L2:L13)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Year</t>
        </is>
      </c>
      <c r="B1" s="2" t="inlineStr">
        <is>
          <t>Month</t>
        </is>
      </c>
      <c r="C1" s="2" t="inlineStr">
        <is>
          <t>Views</t>
        </is>
      </c>
      <c r="D1" s="2" t="inlineStr">
        <is>
          <t>Clicks</t>
        </is>
      </c>
      <c r="E1" s="2" t="inlineStr">
        <is>
          <t>Leads</t>
        </is>
      </c>
      <c r="F1" s="2" t="inlineStr">
        <is>
          <t>AS</t>
        </is>
      </c>
      <c r="G1" s="2" t="inlineStr">
        <is>
          <t>Walkin</t>
        </is>
      </c>
      <c r="H1" s="2" t="inlineStr">
        <is>
          <t>Total_Rev</t>
        </is>
      </c>
      <c r="I1" s="2" t="inlineStr">
        <is>
          <t>Exist_Rev</t>
        </is>
      </c>
      <c r="J1" s="2" t="inlineStr">
        <is>
          <t>NCA</t>
        </is>
      </c>
      <c r="K1" s="2" t="inlineStr">
        <is>
          <t>New_Rev</t>
        </is>
      </c>
    </row>
    <row r="2">
      <c r="A2" t="n">
        <v>2024</v>
      </c>
      <c r="B2" t="inlineStr">
        <is>
          <t>November</t>
        </is>
      </c>
      <c r="C2" t="n">
        <v>490368</v>
      </c>
      <c r="D2" t="n">
        <v>73054</v>
      </c>
      <c r="E2" t="n">
        <v>42267</v>
      </c>
      <c r="F2" t="n">
        <v>28540</v>
      </c>
      <c r="G2" t="n">
        <v>20785</v>
      </c>
      <c r="H2" t="n">
        <v>335197985</v>
      </c>
      <c r="I2" t="n">
        <v>279331654</v>
      </c>
      <c r="J2" t="n">
        <v>5155</v>
      </c>
      <c r="K2" t="n">
        <v>149388768</v>
      </c>
    </row>
    <row r="3">
      <c r="A3" t="n">
        <v>2024</v>
      </c>
      <c r="B3" t="inlineStr">
        <is>
          <t>December</t>
        </is>
      </c>
      <c r="C3" t="n">
        <v>492030</v>
      </c>
      <c r="D3" t="n">
        <v>78333</v>
      </c>
      <c r="E3" t="n">
        <v>41355</v>
      </c>
      <c r="F3" t="n">
        <v>28312</v>
      </c>
      <c r="G3" t="n">
        <v>21243</v>
      </c>
      <c r="H3" t="n">
        <v>376277984</v>
      </c>
      <c r="I3" t="n">
        <v>286797434</v>
      </c>
      <c r="J3" t="n">
        <v>5256</v>
      </c>
      <c r="K3" t="n">
        <v>146973251</v>
      </c>
    </row>
    <row r="4">
      <c r="A4" t="n">
        <v>2025</v>
      </c>
      <c r="B4" t="inlineStr">
        <is>
          <t>January</t>
        </is>
      </c>
      <c r="C4" t="n">
        <v>510419</v>
      </c>
      <c r="D4" t="n">
        <v>84776</v>
      </c>
      <c r="E4" t="n">
        <v>34910</v>
      </c>
      <c r="F4" t="n">
        <v>24150</v>
      </c>
      <c r="G4" t="n">
        <v>18475</v>
      </c>
      <c r="H4" t="n">
        <v>334341446</v>
      </c>
      <c r="I4" t="n">
        <v>231601809</v>
      </c>
      <c r="J4" t="n">
        <v>4167</v>
      </c>
      <c r="K4" t="n">
        <v>124829548</v>
      </c>
    </row>
    <row r="5">
      <c r="A5" t="n">
        <v>2025</v>
      </c>
      <c r="B5" t="inlineStr">
        <is>
          <t>February</t>
        </is>
      </c>
      <c r="C5" t="n">
        <v>450355</v>
      </c>
      <c r="D5" t="n">
        <v>79064</v>
      </c>
      <c r="E5" t="n">
        <v>34464</v>
      </c>
      <c r="F5" t="n">
        <v>23155</v>
      </c>
      <c r="G5" t="n">
        <v>18602</v>
      </c>
      <c r="H5" t="n">
        <v>293417450</v>
      </c>
      <c r="I5" t="n">
        <v>205951481</v>
      </c>
      <c r="J5" t="n">
        <v>4050</v>
      </c>
      <c r="K5" t="n">
        <v>97635479</v>
      </c>
    </row>
    <row r="6">
      <c r="A6" t="n">
        <v>2025</v>
      </c>
      <c r="B6" t="inlineStr">
        <is>
          <t>March</t>
        </is>
      </c>
      <c r="C6" t="n">
        <v>490769</v>
      </c>
      <c r="D6" t="n">
        <v>85418</v>
      </c>
      <c r="E6" t="n">
        <v>36287</v>
      </c>
      <c r="F6" t="n">
        <v>24242</v>
      </c>
      <c r="G6" t="n">
        <v>18798</v>
      </c>
      <c r="H6" t="n">
        <v>314741828</v>
      </c>
      <c r="I6" t="n">
        <v>215854176</v>
      </c>
      <c r="J6" t="n">
        <v>4288</v>
      </c>
      <c r="K6" t="n">
        <v>114545950</v>
      </c>
    </row>
    <row r="7">
      <c r="A7" t="n">
        <v>2025</v>
      </c>
      <c r="B7" t="inlineStr">
        <is>
          <t>April</t>
        </is>
      </c>
      <c r="C7" t="n">
        <v>497271</v>
      </c>
      <c r="D7" t="n">
        <v>79024</v>
      </c>
      <c r="E7" t="n">
        <v>32904</v>
      </c>
      <c r="F7" t="n">
        <v>21130</v>
      </c>
      <c r="G7" t="n">
        <v>17136</v>
      </c>
      <c r="H7" t="n">
        <v>310637262</v>
      </c>
      <c r="I7" t="n">
        <v>224111115</v>
      </c>
      <c r="J7" t="n">
        <v>3910</v>
      </c>
      <c r="K7" t="n">
        <v>112680027</v>
      </c>
    </row>
    <row r="8">
      <c r="A8" t="n">
        <v>2025</v>
      </c>
      <c r="B8" t="inlineStr">
        <is>
          <t>May</t>
        </is>
      </c>
      <c r="C8" t="n">
        <v>533541</v>
      </c>
      <c r="D8" t="n">
        <v>80877</v>
      </c>
      <c r="E8" t="n">
        <v>33304</v>
      </c>
      <c r="F8" t="n">
        <v>21016</v>
      </c>
      <c r="G8" t="n">
        <v>14335</v>
      </c>
      <c r="H8" t="n">
        <v>263201202</v>
      </c>
      <c r="I8" t="n">
        <v>174597259</v>
      </c>
      <c r="J8" t="n">
        <v>3730</v>
      </c>
      <c r="K8" t="n">
        <v>90446849</v>
      </c>
    </row>
    <row r="9">
      <c r="A9" t="n">
        <v>2025</v>
      </c>
      <c r="B9" t="inlineStr">
        <is>
          <t>June</t>
        </is>
      </c>
      <c r="C9" t="n">
        <v>468916</v>
      </c>
      <c r="D9" t="n">
        <v>134574</v>
      </c>
      <c r="E9" t="n">
        <v>35319</v>
      </c>
      <c r="F9" t="n">
        <v>22699</v>
      </c>
      <c r="G9" t="n">
        <v>15506</v>
      </c>
      <c r="H9" t="n">
        <v>299202837</v>
      </c>
      <c r="I9" t="n">
        <v>176406020</v>
      </c>
      <c r="J9" t="n">
        <v>4080</v>
      </c>
      <c r="K9" t="n">
        <v>94789840</v>
      </c>
    </row>
    <row r="10">
      <c r="A10" t="n">
        <v>2025</v>
      </c>
      <c r="B10" t="inlineStr">
        <is>
          <t>July</t>
        </is>
      </c>
      <c r="C10" t="n">
        <v>426194</v>
      </c>
      <c r="D10" t="n">
        <v>174201</v>
      </c>
      <c r="E10" t="n">
        <v>37949</v>
      </c>
      <c r="F10" t="n">
        <v>24829</v>
      </c>
      <c r="G10" t="n">
        <v>20226</v>
      </c>
      <c r="H10" t="n">
        <v>393636770</v>
      </c>
      <c r="I10" t="n">
        <v>223608434</v>
      </c>
      <c r="J10" t="n">
        <v>4927</v>
      </c>
      <c r="K10" t="n">
        <v>119212056</v>
      </c>
    </row>
    <row r="11">
      <c r="A11" t="n">
        <v>2025</v>
      </c>
      <c r="B11" t="inlineStr">
        <is>
          <t>August</t>
        </is>
      </c>
      <c r="C11" t="n">
        <v>603587</v>
      </c>
      <c r="D11" t="n">
        <v>195595</v>
      </c>
      <c r="E11" t="n">
        <v>41744</v>
      </c>
      <c r="F11" t="n">
        <v>27048</v>
      </c>
      <c r="G11" t="n">
        <v>19656</v>
      </c>
      <c r="H11" t="n">
        <v>317692095</v>
      </c>
      <c r="I11" t="n">
        <v>194903662</v>
      </c>
      <c r="J11" t="n">
        <v>4749</v>
      </c>
      <c r="K11" t="n">
        <v>94596958</v>
      </c>
    </row>
    <row r="12">
      <c r="A12" t="n">
        <v>2025</v>
      </c>
      <c r="B12" t="inlineStr">
        <is>
          <t>September</t>
        </is>
      </c>
      <c r="C12" t="n">
        <v>611511</v>
      </c>
      <c r="D12" t="n">
        <v>192880</v>
      </c>
      <c r="E12" t="n">
        <v>49682</v>
      </c>
      <c r="F12" t="n">
        <v>33077</v>
      </c>
      <c r="G12" t="n">
        <v>20327</v>
      </c>
      <c r="H12" t="n">
        <v>450625285</v>
      </c>
      <c r="I12" t="n">
        <v>255877696</v>
      </c>
      <c r="J12" t="n">
        <v>5533</v>
      </c>
      <c r="K12" t="n">
        <v>129252954</v>
      </c>
    </row>
    <row r="13">
      <c r="A13" t="n">
        <v>2025</v>
      </c>
      <c r="B13" t="inlineStr">
        <is>
          <t>October</t>
        </is>
      </c>
      <c r="C13" t="n">
        <v>570044</v>
      </c>
      <c r="D13" t="n">
        <v>175850</v>
      </c>
      <c r="E13" t="n">
        <v>44649</v>
      </c>
      <c r="F13" t="n">
        <v>31703</v>
      </c>
      <c r="G13" t="n">
        <v>17419</v>
      </c>
      <c r="H13" t="n">
        <v>406659956</v>
      </c>
      <c r="I13" t="n">
        <v>245508895</v>
      </c>
      <c r="J13" t="n">
        <v>4923</v>
      </c>
      <c r="K13" t="n">
        <v>137773625</v>
      </c>
    </row>
    <row r="14">
      <c r="A14" t="inlineStr">
        <is>
          <t>TTM</t>
        </is>
      </c>
      <c r="C14">
        <f>SUM(C2:C13)</f>
        <v/>
      </c>
      <c r="D14">
        <f>SUM(D2:D13)</f>
        <v/>
      </c>
      <c r="E14">
        <f>SUM(E2:E13)</f>
        <v/>
      </c>
      <c r="F14">
        <f>SUM(F2:F13)</f>
        <v/>
      </c>
      <c r="G14">
        <f>SUM(G2:G13)</f>
        <v/>
      </c>
      <c r="H14">
        <f>SUM(H2:H13)</f>
        <v/>
      </c>
      <c r="I14">
        <f>SUM(I2:I13)</f>
        <v/>
      </c>
      <c r="J14">
        <f>SUM(J2:J13)</f>
        <v/>
      </c>
      <c r="K14">
        <f>SUM(K2:K13)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Year</t>
        </is>
      </c>
      <c r="B1" s="2" t="inlineStr">
        <is>
          <t>Month</t>
        </is>
      </c>
      <c r="C1" s="2" t="inlineStr">
        <is>
          <t>Leads</t>
        </is>
      </c>
      <c r="D1" s="2" t="inlineStr">
        <is>
          <t>AS</t>
        </is>
      </c>
      <c r="E1" s="2" t="inlineStr">
        <is>
          <t>Walkin</t>
        </is>
      </c>
      <c r="F1" s="2" t="inlineStr">
        <is>
          <t>Total_Rev</t>
        </is>
      </c>
      <c r="G1" s="2" t="inlineStr">
        <is>
          <t>Exist_Rev</t>
        </is>
      </c>
      <c r="H1" s="2" t="inlineStr">
        <is>
          <t>NCA</t>
        </is>
      </c>
      <c r="I1" s="2" t="inlineStr">
        <is>
          <t>New_Rev</t>
        </is>
      </c>
    </row>
    <row r="2">
      <c r="A2" t="n">
        <v>2024</v>
      </c>
      <c r="B2" t="inlineStr">
        <is>
          <t>November</t>
        </is>
      </c>
      <c r="C2" t="n">
        <v>11407</v>
      </c>
      <c r="D2" t="n">
        <v>10626</v>
      </c>
      <c r="E2" t="n">
        <v>11890</v>
      </c>
      <c r="F2" t="n">
        <v>170025728</v>
      </c>
      <c r="G2" t="n">
        <v>136020582</v>
      </c>
      <c r="H2" t="n">
        <v>1647</v>
      </c>
      <c r="I2" t="n">
        <v>62253112</v>
      </c>
    </row>
    <row r="3">
      <c r="A3" t="n">
        <v>2024</v>
      </c>
      <c r="B3" t="inlineStr">
        <is>
          <t>December</t>
        </is>
      </c>
      <c r="C3" t="n">
        <v>11955</v>
      </c>
      <c r="D3" t="n">
        <v>11153</v>
      </c>
      <c r="E3" t="n">
        <v>11365</v>
      </c>
      <c r="F3" t="n">
        <v>168268127</v>
      </c>
      <c r="G3" t="n">
        <v>136446921</v>
      </c>
      <c r="H3" t="n">
        <v>1572</v>
      </c>
      <c r="I3" t="n">
        <v>65041329</v>
      </c>
    </row>
    <row r="4">
      <c r="A4" t="n">
        <v>2025</v>
      </c>
      <c r="B4" t="inlineStr">
        <is>
          <t>January</t>
        </is>
      </c>
      <c r="C4" t="n">
        <v>12839</v>
      </c>
      <c r="D4" t="n">
        <v>11974</v>
      </c>
      <c r="E4" t="n">
        <v>11853</v>
      </c>
      <c r="F4" t="n">
        <v>204916448</v>
      </c>
      <c r="G4" t="n">
        <v>158540467</v>
      </c>
      <c r="H4" t="n">
        <v>1727</v>
      </c>
      <c r="I4" t="n">
        <v>76062444</v>
      </c>
    </row>
    <row r="5">
      <c r="A5" t="n">
        <v>2025</v>
      </c>
      <c r="B5" t="inlineStr">
        <is>
          <t>February</t>
        </is>
      </c>
      <c r="C5" t="n">
        <v>12046</v>
      </c>
      <c r="D5" t="n">
        <v>11309</v>
      </c>
      <c r="E5" t="n">
        <v>10663</v>
      </c>
      <c r="F5" t="n">
        <v>153081359</v>
      </c>
      <c r="G5" t="n">
        <v>107187548</v>
      </c>
      <c r="H5" t="n">
        <v>1403</v>
      </c>
      <c r="I5" t="n">
        <v>53741509</v>
      </c>
    </row>
    <row r="6">
      <c r="A6" t="n">
        <v>2025</v>
      </c>
      <c r="B6" t="inlineStr">
        <is>
          <t>March</t>
        </is>
      </c>
      <c r="C6" t="n">
        <v>13715</v>
      </c>
      <c r="D6" t="n">
        <v>12756</v>
      </c>
      <c r="E6" t="n">
        <v>12312</v>
      </c>
      <c r="F6" t="n">
        <v>193735264</v>
      </c>
      <c r="G6" t="n">
        <v>136957730</v>
      </c>
      <c r="H6" t="n">
        <v>2047</v>
      </c>
      <c r="I6" t="n">
        <v>67266815</v>
      </c>
    </row>
    <row r="7">
      <c r="A7" t="n">
        <v>2025</v>
      </c>
      <c r="B7" t="inlineStr">
        <is>
          <t>April</t>
        </is>
      </c>
      <c r="C7" t="n">
        <v>12555</v>
      </c>
      <c r="D7" t="n">
        <v>11549</v>
      </c>
      <c r="E7" t="n">
        <v>12320</v>
      </c>
      <c r="F7" t="n">
        <v>203211919</v>
      </c>
      <c r="G7" t="n">
        <v>147252317</v>
      </c>
      <c r="H7" t="n">
        <v>2058</v>
      </c>
      <c r="I7" t="n">
        <v>65222876</v>
      </c>
    </row>
    <row r="8">
      <c r="A8" t="n">
        <v>2025</v>
      </c>
      <c r="B8" t="inlineStr">
        <is>
          <t>May</t>
        </is>
      </c>
      <c r="C8" t="n">
        <v>12631</v>
      </c>
      <c r="D8" t="n">
        <v>11498</v>
      </c>
      <c r="E8" t="n">
        <v>9231</v>
      </c>
      <c r="F8" t="n">
        <v>158287830</v>
      </c>
      <c r="G8" t="n">
        <v>96794255</v>
      </c>
      <c r="H8" t="n">
        <v>1452</v>
      </c>
      <c r="I8" t="n">
        <v>41950381</v>
      </c>
    </row>
    <row r="9">
      <c r="A9" t="n">
        <v>2025</v>
      </c>
      <c r="B9" t="inlineStr">
        <is>
          <t>June</t>
        </is>
      </c>
      <c r="C9" t="n">
        <v>12009</v>
      </c>
      <c r="D9" t="n">
        <v>11617</v>
      </c>
      <c r="E9" t="n">
        <v>13270</v>
      </c>
      <c r="F9" t="n">
        <v>246584843</v>
      </c>
      <c r="G9" t="n">
        <v>147268482</v>
      </c>
      <c r="H9" t="n">
        <v>2105</v>
      </c>
      <c r="I9" t="n">
        <v>63918850</v>
      </c>
    </row>
    <row r="10">
      <c r="A10" t="n">
        <v>2025</v>
      </c>
      <c r="B10" t="inlineStr">
        <is>
          <t>July</t>
        </is>
      </c>
      <c r="C10" t="n">
        <v>14753</v>
      </c>
      <c r="D10" t="n">
        <v>13725</v>
      </c>
      <c r="E10" t="n">
        <v>7808</v>
      </c>
      <c r="F10" t="n">
        <v>148279707</v>
      </c>
      <c r="G10" t="n">
        <v>76096196</v>
      </c>
      <c r="H10" t="n">
        <v>1360</v>
      </c>
      <c r="I10" t="n">
        <v>31690513</v>
      </c>
    </row>
    <row r="11">
      <c r="A11" t="n">
        <v>2025</v>
      </c>
      <c r="B11" t="inlineStr">
        <is>
          <t>August</t>
        </is>
      </c>
      <c r="C11" t="n">
        <v>15450</v>
      </c>
      <c r="D11" t="n">
        <v>14122</v>
      </c>
      <c r="E11" t="n">
        <v>11178</v>
      </c>
      <c r="F11" t="n">
        <v>161626501</v>
      </c>
      <c r="G11" t="n">
        <v>102987227</v>
      </c>
      <c r="H11" t="n">
        <v>1948</v>
      </c>
      <c r="I11" t="n">
        <v>41249686</v>
      </c>
    </row>
    <row r="12">
      <c r="A12" t="n">
        <v>2025</v>
      </c>
      <c r="B12" t="inlineStr">
        <is>
          <t>September</t>
        </is>
      </c>
      <c r="C12" t="n">
        <v>15072</v>
      </c>
      <c r="D12" t="n">
        <v>13530</v>
      </c>
      <c r="E12" t="n">
        <v>9538</v>
      </c>
      <c r="F12" t="n">
        <v>192920100</v>
      </c>
      <c r="G12" t="n">
        <v>103364336</v>
      </c>
      <c r="H12" t="n">
        <v>1809</v>
      </c>
      <c r="I12" t="n">
        <v>47715669</v>
      </c>
    </row>
    <row r="13">
      <c r="A13" t="n">
        <v>2025</v>
      </c>
      <c r="B13" t="inlineStr">
        <is>
          <t>October</t>
        </is>
      </c>
      <c r="C13" t="n">
        <v>14106</v>
      </c>
      <c r="D13" t="n">
        <v>13234</v>
      </c>
      <c r="E13" t="n">
        <v>9567</v>
      </c>
      <c r="F13" t="n">
        <v>182233659</v>
      </c>
      <c r="G13" t="n">
        <v>103277837</v>
      </c>
      <c r="H13" t="n">
        <v>1930</v>
      </c>
      <c r="I13" t="n">
        <v>55795884</v>
      </c>
    </row>
    <row r="14">
      <c r="A14" t="inlineStr">
        <is>
          <t>TTM</t>
        </is>
      </c>
      <c r="C14">
        <f>SUM(C2:C13)</f>
        <v/>
      </c>
      <c r="D14">
        <f>SUM(D2:D13)</f>
        <v/>
      </c>
      <c r="E14">
        <f>SUM(E2:E13)</f>
        <v/>
      </c>
      <c r="F14">
        <f>SUM(F2:F13)</f>
        <v/>
      </c>
      <c r="G14">
        <f>SUM(G2:G13)</f>
        <v/>
      </c>
      <c r="H14">
        <f>SUM(H2:H13)</f>
        <v/>
      </c>
      <c r="I14">
        <f>SUM(I2:I13)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Year</t>
        </is>
      </c>
      <c r="B1" s="2" t="inlineStr">
        <is>
          <t>Month</t>
        </is>
      </c>
      <c r="C1" s="2" t="inlineStr">
        <is>
          <t>Leads</t>
        </is>
      </c>
      <c r="D1" s="2" t="inlineStr">
        <is>
          <t>AS</t>
        </is>
      </c>
      <c r="E1" s="2" t="inlineStr">
        <is>
          <t>Walkin</t>
        </is>
      </c>
      <c r="F1" s="2" t="inlineStr">
        <is>
          <t>Total_Rev</t>
        </is>
      </c>
      <c r="G1" s="2" t="inlineStr">
        <is>
          <t>Exist_Rev</t>
        </is>
      </c>
      <c r="H1" s="2" t="inlineStr">
        <is>
          <t>NCA</t>
        </is>
      </c>
      <c r="I1" s="2" t="inlineStr">
        <is>
          <t>New_Rev</t>
        </is>
      </c>
    </row>
    <row r="2">
      <c r="A2" t="n">
        <v>2024</v>
      </c>
      <c r="B2" t="inlineStr">
        <is>
          <t>November</t>
        </is>
      </c>
      <c r="C2" t="n">
        <v>4972</v>
      </c>
      <c r="D2" t="n">
        <v>1999</v>
      </c>
      <c r="E2" t="n">
        <v>1182</v>
      </c>
      <c r="F2" t="n">
        <v>10088397</v>
      </c>
      <c r="G2" t="n">
        <v>8406998</v>
      </c>
      <c r="H2" t="n">
        <v>458</v>
      </c>
      <c r="I2" t="n">
        <v>4221954</v>
      </c>
    </row>
    <row r="3">
      <c r="A3" t="n">
        <v>2024</v>
      </c>
      <c r="B3" t="inlineStr">
        <is>
          <t>December</t>
        </is>
      </c>
      <c r="C3" t="n">
        <v>5160</v>
      </c>
      <c r="D3" t="n">
        <v>2182</v>
      </c>
      <c r="E3" t="n">
        <v>1199</v>
      </c>
      <c r="F3" t="n">
        <v>15076399</v>
      </c>
      <c r="G3" t="n">
        <v>12222331</v>
      </c>
      <c r="H3" t="n">
        <v>460</v>
      </c>
      <c r="I3" t="n">
        <v>4883686</v>
      </c>
    </row>
    <row r="4">
      <c r="A4" t="n">
        <v>2025</v>
      </c>
      <c r="B4" t="inlineStr">
        <is>
          <t>January</t>
        </is>
      </c>
      <c r="C4" t="n">
        <v>5670</v>
      </c>
      <c r="D4" t="n">
        <v>2427</v>
      </c>
      <c r="E4" t="n">
        <v>1241</v>
      </c>
      <c r="F4" t="n">
        <v>14316462</v>
      </c>
      <c r="G4" t="n">
        <v>10925699</v>
      </c>
      <c r="H4" t="n">
        <v>436</v>
      </c>
      <c r="I4" t="n">
        <v>7312986</v>
      </c>
    </row>
    <row r="5">
      <c r="A5" t="n">
        <v>2025</v>
      </c>
      <c r="B5" t="inlineStr">
        <is>
          <t>February</t>
        </is>
      </c>
      <c r="C5" t="n">
        <v>4695</v>
      </c>
      <c r="D5" t="n">
        <v>1776</v>
      </c>
      <c r="E5" t="n">
        <v>1012</v>
      </c>
      <c r="F5" t="n">
        <v>17235174</v>
      </c>
      <c r="G5" t="n">
        <v>14921910</v>
      </c>
      <c r="H5" t="n">
        <v>334</v>
      </c>
      <c r="I5" t="n">
        <v>4707951</v>
      </c>
    </row>
    <row r="6">
      <c r="A6" t="n">
        <v>2025</v>
      </c>
      <c r="B6" t="inlineStr">
        <is>
          <t>March</t>
        </is>
      </c>
      <c r="C6" t="n">
        <v>5112</v>
      </c>
      <c r="D6" t="n">
        <v>1779</v>
      </c>
      <c r="E6" t="n">
        <v>1425</v>
      </c>
      <c r="F6" t="n">
        <v>21550876</v>
      </c>
      <c r="G6" t="n">
        <v>17608907</v>
      </c>
      <c r="H6" t="n">
        <v>488</v>
      </c>
      <c r="I6" t="n">
        <v>7308102</v>
      </c>
    </row>
    <row r="7">
      <c r="A7" t="n">
        <v>2025</v>
      </c>
      <c r="B7" t="inlineStr">
        <is>
          <t>April</t>
        </is>
      </c>
      <c r="C7" t="n">
        <v>2332</v>
      </c>
      <c r="D7" t="n">
        <v>1130</v>
      </c>
      <c r="E7" t="n">
        <v>1000</v>
      </c>
      <c r="F7" t="n">
        <v>11945724</v>
      </c>
      <c r="G7" t="n">
        <v>9289406</v>
      </c>
      <c r="H7" t="n">
        <v>322</v>
      </c>
      <c r="I7" t="n">
        <v>4389422</v>
      </c>
    </row>
    <row r="8">
      <c r="A8" t="n">
        <v>2025</v>
      </c>
      <c r="B8" t="inlineStr">
        <is>
          <t>May</t>
        </is>
      </c>
      <c r="C8" t="n">
        <v>2040</v>
      </c>
      <c r="D8" t="n">
        <v>923</v>
      </c>
      <c r="E8" t="n">
        <v>1048</v>
      </c>
      <c r="F8" t="n">
        <v>13517500</v>
      </c>
      <c r="G8" t="n">
        <v>10291011</v>
      </c>
      <c r="H8" t="n">
        <v>412</v>
      </c>
      <c r="I8" t="n">
        <v>4333730</v>
      </c>
    </row>
    <row r="9">
      <c r="A9" t="n">
        <v>2025</v>
      </c>
      <c r="B9" t="inlineStr">
        <is>
          <t>June</t>
        </is>
      </c>
      <c r="C9" t="n">
        <v>448</v>
      </c>
      <c r="D9" t="n">
        <v>206</v>
      </c>
      <c r="E9" t="n">
        <v>621</v>
      </c>
      <c r="F9" t="n">
        <v>7781979</v>
      </c>
      <c r="G9" t="n">
        <v>4124840</v>
      </c>
      <c r="H9" t="n">
        <v>200</v>
      </c>
      <c r="I9" t="n">
        <v>2076968</v>
      </c>
    </row>
    <row r="10">
      <c r="A10" t="n">
        <v>2025</v>
      </c>
      <c r="B10" t="inlineStr">
        <is>
          <t>July</t>
        </is>
      </c>
      <c r="C10" t="n">
        <v>870</v>
      </c>
      <c r="D10" t="n">
        <v>315</v>
      </c>
      <c r="E10" t="n">
        <v>301</v>
      </c>
      <c r="F10" t="n">
        <v>4755741</v>
      </c>
      <c r="G10" t="n">
        <v>1568893</v>
      </c>
      <c r="H10" t="n">
        <v>70</v>
      </c>
      <c r="I10" t="n">
        <v>746720</v>
      </c>
    </row>
    <row r="11">
      <c r="A11" t="n">
        <v>2025</v>
      </c>
      <c r="B11" t="inlineStr">
        <is>
          <t>August</t>
        </is>
      </c>
      <c r="C11" t="n">
        <v>1171</v>
      </c>
      <c r="D11" t="n">
        <v>402</v>
      </c>
      <c r="E11" t="n">
        <v>383</v>
      </c>
      <c r="F11" t="n">
        <v>3401472</v>
      </c>
      <c r="G11" t="n">
        <v>1026385</v>
      </c>
      <c r="H11" t="n">
        <v>93</v>
      </c>
      <c r="I11" t="n">
        <v>291953</v>
      </c>
    </row>
    <row r="12">
      <c r="A12" t="n">
        <v>2025</v>
      </c>
      <c r="B12" t="inlineStr">
        <is>
          <t>September</t>
        </is>
      </c>
      <c r="C12" t="n">
        <v>5831</v>
      </c>
      <c r="D12" t="n">
        <v>354</v>
      </c>
      <c r="E12" t="n">
        <v>341</v>
      </c>
      <c r="F12" t="n">
        <v>8639790</v>
      </c>
      <c r="G12" t="n">
        <v>4616679</v>
      </c>
      <c r="H12" t="n">
        <v>121</v>
      </c>
      <c r="I12" t="n">
        <v>2000535</v>
      </c>
    </row>
    <row r="13">
      <c r="A13" t="n">
        <v>2025</v>
      </c>
      <c r="B13" t="inlineStr">
        <is>
          <t>October</t>
        </is>
      </c>
      <c r="C13" t="n">
        <v>5692</v>
      </c>
      <c r="D13" t="n">
        <v>814</v>
      </c>
      <c r="E13" t="n">
        <v>361</v>
      </c>
      <c r="F13" t="n">
        <v>6558889</v>
      </c>
      <c r="G13" t="n">
        <v>2889041</v>
      </c>
      <c r="H13" t="n">
        <v>134</v>
      </c>
      <c r="I13" t="n">
        <v>2031835</v>
      </c>
    </row>
    <row r="14">
      <c r="A14" t="inlineStr">
        <is>
          <t>TTM</t>
        </is>
      </c>
      <c r="C14">
        <f>SUM(C2:C13)</f>
        <v/>
      </c>
      <c r="D14">
        <f>SUM(D2:D13)</f>
        <v/>
      </c>
      <c r="E14">
        <f>SUM(E2:E13)</f>
        <v/>
      </c>
      <c r="F14">
        <f>SUM(F2:F13)</f>
        <v/>
      </c>
      <c r="G14">
        <f>SUM(G2:G13)</f>
        <v/>
      </c>
      <c r="H14">
        <f>SUM(H2:H13)</f>
        <v/>
      </c>
      <c r="I14">
        <f>SUM(I2:I13)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Year</t>
        </is>
      </c>
      <c r="B1" s="2" t="inlineStr">
        <is>
          <t>Month</t>
        </is>
      </c>
      <c r="C1" s="2" t="inlineStr">
        <is>
          <t>Leads</t>
        </is>
      </c>
      <c r="D1" s="2" t="inlineStr">
        <is>
          <t>AS</t>
        </is>
      </c>
      <c r="E1" s="2" t="inlineStr">
        <is>
          <t>Walkin</t>
        </is>
      </c>
      <c r="F1" s="2" t="inlineStr">
        <is>
          <t>Total_Rev</t>
        </is>
      </c>
      <c r="G1" s="2" t="inlineStr">
        <is>
          <t>Exist_Rev</t>
        </is>
      </c>
      <c r="H1" s="2" t="inlineStr">
        <is>
          <t>NCA</t>
        </is>
      </c>
      <c r="I1" s="2" t="inlineStr">
        <is>
          <t>New_Rev</t>
        </is>
      </c>
    </row>
    <row r="2">
      <c r="A2" t="n">
        <v>2024</v>
      </c>
      <c r="B2" t="inlineStr">
        <is>
          <t>November</t>
        </is>
      </c>
      <c r="C2" t="n">
        <v>2724</v>
      </c>
      <c r="D2" t="n">
        <v>2632</v>
      </c>
      <c r="E2" t="n">
        <v>2149</v>
      </c>
      <c r="F2" t="n">
        <v>28498132</v>
      </c>
      <c r="G2" t="n">
        <v>25907393</v>
      </c>
      <c r="H2" t="n">
        <v>229</v>
      </c>
      <c r="I2" t="n">
        <v>11173374</v>
      </c>
    </row>
    <row r="3">
      <c r="A3" t="n">
        <v>2024</v>
      </c>
      <c r="B3" t="inlineStr">
        <is>
          <t>December</t>
        </is>
      </c>
      <c r="C3" t="n">
        <v>3553</v>
      </c>
      <c r="D3" t="n">
        <v>3466</v>
      </c>
      <c r="E3" t="n">
        <v>2689</v>
      </c>
      <c r="F3" t="n">
        <v>37379476</v>
      </c>
      <c r="G3" t="n">
        <v>30176409</v>
      </c>
      <c r="H3" t="n">
        <v>230</v>
      </c>
      <c r="I3" t="n">
        <v>14255906</v>
      </c>
    </row>
    <row r="4">
      <c r="A4" t="n">
        <v>2025</v>
      </c>
      <c r="B4" t="inlineStr">
        <is>
          <t>January</t>
        </is>
      </c>
      <c r="C4" t="n">
        <v>3136</v>
      </c>
      <c r="D4" t="n">
        <v>3017</v>
      </c>
      <c r="E4" t="n">
        <v>2793</v>
      </c>
      <c r="F4" t="n">
        <v>45410052</v>
      </c>
      <c r="G4" t="n">
        <v>35166104</v>
      </c>
      <c r="H4" t="n">
        <v>247</v>
      </c>
      <c r="I4" t="n">
        <v>19107655</v>
      </c>
    </row>
    <row r="5">
      <c r="A5" t="n">
        <v>2025</v>
      </c>
      <c r="B5" t="inlineStr">
        <is>
          <t>February</t>
        </is>
      </c>
      <c r="C5" t="n">
        <v>2938</v>
      </c>
      <c r="D5" t="n">
        <v>2860</v>
      </c>
      <c r="E5" t="n">
        <v>2696</v>
      </c>
      <c r="F5" t="n">
        <v>35380177</v>
      </c>
      <c r="G5" t="n">
        <v>25810779</v>
      </c>
      <c r="H5" t="n">
        <v>212</v>
      </c>
      <c r="I5" t="n">
        <v>11676686</v>
      </c>
    </row>
    <row r="6">
      <c r="A6" t="n">
        <v>2025</v>
      </c>
      <c r="B6" t="inlineStr">
        <is>
          <t>March</t>
        </is>
      </c>
      <c r="C6" t="n">
        <v>2965</v>
      </c>
      <c r="D6" t="n">
        <v>2865</v>
      </c>
      <c r="E6" t="n">
        <v>2870</v>
      </c>
      <c r="F6" t="n">
        <v>43736438</v>
      </c>
      <c r="G6" t="n">
        <v>31544186</v>
      </c>
      <c r="H6" t="n">
        <v>217</v>
      </c>
      <c r="I6" t="n">
        <v>13306763</v>
      </c>
    </row>
    <row r="7">
      <c r="A7" t="n">
        <v>2025</v>
      </c>
      <c r="B7" t="inlineStr">
        <is>
          <t>April</t>
        </is>
      </c>
      <c r="C7" t="n">
        <v>3404</v>
      </c>
      <c r="D7" t="n">
        <v>3244</v>
      </c>
      <c r="E7" t="n">
        <v>3483</v>
      </c>
      <c r="F7" t="n">
        <v>56748667</v>
      </c>
      <c r="G7" t="n">
        <v>45606368</v>
      </c>
      <c r="H7" t="n">
        <v>292</v>
      </c>
      <c r="I7" t="n">
        <v>23013353</v>
      </c>
    </row>
    <row r="8">
      <c r="A8" t="n">
        <v>2025</v>
      </c>
      <c r="B8" t="inlineStr">
        <is>
          <t>May</t>
        </is>
      </c>
      <c r="C8" t="n">
        <v>3439</v>
      </c>
      <c r="D8" t="n">
        <v>3272</v>
      </c>
      <c r="E8" t="n">
        <v>2168</v>
      </c>
      <c r="F8" t="n">
        <v>35502719</v>
      </c>
      <c r="G8" t="n">
        <v>24976750</v>
      </c>
      <c r="H8" t="n">
        <v>222</v>
      </c>
      <c r="I8" t="n">
        <v>14571544</v>
      </c>
    </row>
    <row r="9">
      <c r="A9" t="n">
        <v>2025</v>
      </c>
      <c r="B9" t="inlineStr">
        <is>
          <t>June</t>
        </is>
      </c>
      <c r="C9" t="n">
        <v>3390</v>
      </c>
      <c r="D9" t="n">
        <v>3387</v>
      </c>
      <c r="E9" t="n">
        <v>3561</v>
      </c>
      <c r="F9" t="n">
        <v>61257382</v>
      </c>
      <c r="G9" t="n">
        <v>43887402</v>
      </c>
      <c r="H9" t="n">
        <v>276</v>
      </c>
      <c r="I9" t="n">
        <v>21367115</v>
      </c>
    </row>
    <row r="10">
      <c r="A10" t="n">
        <v>2025</v>
      </c>
      <c r="B10" t="inlineStr">
        <is>
          <t>July</t>
        </is>
      </c>
      <c r="C10" t="n">
        <v>4114</v>
      </c>
      <c r="D10" t="n">
        <v>4010</v>
      </c>
      <c r="E10" t="n">
        <v>3070</v>
      </c>
      <c r="F10" t="n">
        <v>51222445</v>
      </c>
      <c r="G10" t="n">
        <v>33774106</v>
      </c>
      <c r="H10" t="n">
        <v>262</v>
      </c>
      <c r="I10" t="n">
        <v>18962208</v>
      </c>
    </row>
    <row r="11">
      <c r="A11" t="n">
        <v>2025</v>
      </c>
      <c r="B11" t="inlineStr">
        <is>
          <t>August</t>
        </is>
      </c>
      <c r="C11" t="n">
        <v>4045</v>
      </c>
      <c r="D11" t="n">
        <v>3840</v>
      </c>
      <c r="E11" t="n">
        <v>3323</v>
      </c>
      <c r="F11" t="n">
        <v>42916766</v>
      </c>
      <c r="G11" t="n">
        <v>29655658</v>
      </c>
      <c r="H11" t="n">
        <v>215</v>
      </c>
      <c r="I11" t="n">
        <v>13658128</v>
      </c>
    </row>
    <row r="12">
      <c r="A12" t="n">
        <v>2025</v>
      </c>
      <c r="B12" t="inlineStr">
        <is>
          <t>September</t>
        </is>
      </c>
      <c r="C12" t="n">
        <v>3809</v>
      </c>
      <c r="D12" t="n">
        <v>3621</v>
      </c>
      <c r="E12" t="n">
        <v>2743</v>
      </c>
      <c r="F12" t="n">
        <v>64569109</v>
      </c>
      <c r="G12" t="n">
        <v>44609078</v>
      </c>
      <c r="H12" t="n">
        <v>210</v>
      </c>
      <c r="I12" t="n">
        <v>21965227</v>
      </c>
    </row>
    <row r="13">
      <c r="A13" t="n">
        <v>2025</v>
      </c>
      <c r="B13" t="inlineStr">
        <is>
          <t>October</t>
        </is>
      </c>
      <c r="C13" t="n">
        <v>2758</v>
      </c>
      <c r="D13" t="n">
        <v>2694</v>
      </c>
      <c r="E13" t="n">
        <v>2044</v>
      </c>
      <c r="F13" t="n">
        <v>41963031</v>
      </c>
      <c r="G13" t="n">
        <v>25599212</v>
      </c>
      <c r="H13" t="n">
        <v>150</v>
      </c>
      <c r="I13" t="n">
        <v>14862038</v>
      </c>
    </row>
    <row r="14">
      <c r="A14" t="inlineStr">
        <is>
          <t>TTM</t>
        </is>
      </c>
      <c r="C14">
        <f>SUM(C2:C13)</f>
        <v/>
      </c>
      <c r="D14">
        <f>SUM(D2:D13)</f>
        <v/>
      </c>
      <c r="E14">
        <f>SUM(E2:E13)</f>
        <v/>
      </c>
      <c r="F14">
        <f>SUM(F2:F13)</f>
        <v/>
      </c>
      <c r="G14">
        <f>SUM(G2:G13)</f>
        <v/>
      </c>
      <c r="H14">
        <f>SUM(H2:H13)</f>
        <v/>
      </c>
      <c r="I14">
        <f>SUM(I2:I13)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Cohort</t>
        </is>
      </c>
      <c r="B1" s="2" t="inlineStr">
        <is>
          <t>Segment</t>
        </is>
      </c>
      <c r="C1" s="2" t="inlineStr">
        <is>
          <t>M0_Acquisitions</t>
        </is>
      </c>
      <c r="D1" s="2" t="inlineStr">
        <is>
          <t>M0_Revenue</t>
        </is>
      </c>
      <c r="E1" s="2" t="inlineStr">
        <is>
          <t>M3_Revenue</t>
        </is>
      </c>
      <c r="F1" s="2" t="inlineStr">
        <is>
          <t>M6_Revenue</t>
        </is>
      </c>
      <c r="G1" s="2" t="inlineStr">
        <is>
          <t>M9_Revenue</t>
        </is>
      </c>
      <c r="H1" s="2" t="inlineStr">
        <is>
          <t>LTV_Current</t>
        </is>
      </c>
      <c r="I1" t="inlineStr">
        <is>
          <t>M3_Retention%</t>
        </is>
      </c>
      <c r="J1" t="inlineStr">
        <is>
          <t>M6_Retention%</t>
        </is>
      </c>
      <c r="K1" t="inlineStr">
        <is>
          <t>M9_Retention%</t>
        </is>
      </c>
    </row>
    <row r="2">
      <c r="A2" t="inlineStr">
        <is>
          <t>Dec-24</t>
        </is>
      </c>
      <c r="B2" t="inlineStr">
        <is>
          <t>Overall</t>
        </is>
      </c>
      <c r="C2" t="n">
        <v>7730</v>
      </c>
      <c r="D2" t="n">
        <v>239247158</v>
      </c>
      <c r="E2" t="n">
        <v>180000000</v>
      </c>
      <c r="F2" t="n">
        <v>120000000</v>
      </c>
      <c r="G2" t="n">
        <v>80000000</v>
      </c>
      <c r="H2" t="n">
        <v>45592</v>
      </c>
      <c r="I2">
        <f>IF(E2&gt;0,E2/D2,0)</f>
        <v/>
      </c>
      <c r="J2">
        <f>IF(F2&gt;0,F2/D2,0)</f>
        <v/>
      </c>
      <c r="K2">
        <f>IF(G2&gt;0,G2/D2,0)</f>
        <v/>
      </c>
    </row>
    <row r="3">
      <c r="A3" t="inlineStr">
        <is>
          <t>Jan-25</t>
        </is>
      </c>
      <c r="B3" t="inlineStr">
        <is>
          <t>Overall</t>
        </is>
      </c>
      <c r="C3" t="n">
        <v>7068</v>
      </c>
      <c r="D3" t="n">
        <v>245782313</v>
      </c>
      <c r="E3" t="n">
        <v>170000000</v>
      </c>
      <c r="F3" t="n">
        <v>110000000</v>
      </c>
      <c r="G3" t="n">
        <v>65000000</v>
      </c>
      <c r="H3" t="n">
        <v>43178</v>
      </c>
      <c r="I3">
        <f>IF(E3&gt;0,E3/D3,0)</f>
        <v/>
      </c>
      <c r="J3">
        <f>IF(F3&gt;0,F3/D3,0)</f>
        <v/>
      </c>
      <c r="K3">
        <f>IF(G3&gt;0,G3/D3,0)</f>
        <v/>
      </c>
    </row>
    <row r="4">
      <c r="A4" t="inlineStr">
        <is>
          <t>Feb-25</t>
        </is>
      </c>
      <c r="B4" t="inlineStr">
        <is>
          <t>Overall</t>
        </is>
      </c>
      <c r="C4" t="n">
        <v>6738</v>
      </c>
      <c r="D4" t="n">
        <v>188151945</v>
      </c>
      <c r="E4" t="n">
        <v>140000000</v>
      </c>
      <c r="F4" t="n">
        <v>90000000</v>
      </c>
      <c r="G4" t="n">
        <v>50000000</v>
      </c>
      <c r="H4" t="n">
        <v>37482</v>
      </c>
      <c r="I4">
        <f>IF(E4&gt;0,E4/D4,0)</f>
        <v/>
      </c>
      <c r="J4">
        <f>IF(F4&gt;0,F4/D4,0)</f>
        <v/>
      </c>
      <c r="K4">
        <f>IF(G4&gt;0,G4/D4,0)</f>
        <v/>
      </c>
    </row>
    <row r="5">
      <c r="A5" t="inlineStr">
        <is>
          <t>Mar-25</t>
        </is>
      </c>
      <c r="B5" t="inlineStr">
        <is>
          <t>Overall</t>
        </is>
      </c>
      <c r="C5" t="n">
        <v>7611</v>
      </c>
      <c r="D5" t="n">
        <v>215386981</v>
      </c>
      <c r="E5" t="n">
        <v>155000000</v>
      </c>
      <c r="F5" t="n">
        <v>95000000</v>
      </c>
      <c r="G5" t="n">
        <v>0</v>
      </c>
      <c r="H5" t="n">
        <v>34215</v>
      </c>
      <c r="I5">
        <f>IF(E5&gt;0,E5/D5,0)</f>
        <v/>
      </c>
      <c r="J5">
        <f>IF(F5&gt;0,F5/D5,0)</f>
        <v/>
      </c>
      <c r="K5">
        <f>IF(G5&gt;0,G5/D5,0)</f>
        <v/>
      </c>
    </row>
    <row r="6">
      <c r="A6" t="inlineStr">
        <is>
          <t>Apr-25</t>
        </is>
      </c>
      <c r="B6" t="inlineStr">
        <is>
          <t>Overall</t>
        </is>
      </c>
      <c r="C6" t="n">
        <v>7080</v>
      </c>
      <c r="D6" t="n">
        <v>219206427</v>
      </c>
      <c r="E6" t="n">
        <v>150000000</v>
      </c>
      <c r="F6" t="n">
        <v>85000000</v>
      </c>
      <c r="G6" t="n">
        <v>0</v>
      </c>
      <c r="H6" t="n">
        <v>32438</v>
      </c>
      <c r="I6">
        <f>IF(E6&gt;0,E6/D6,0)</f>
        <v/>
      </c>
      <c r="J6">
        <f>IF(F6&gt;0,F6/D6,0)</f>
        <v/>
      </c>
      <c r="K6">
        <f>IF(G6&gt;0,G6/D6,0)</f>
        <v/>
      </c>
    </row>
    <row r="7">
      <c r="A7" t="inlineStr">
        <is>
          <t>May-25</t>
        </is>
      </c>
      <c r="B7" t="inlineStr">
        <is>
          <t>Overall</t>
        </is>
      </c>
      <c r="C7" t="n">
        <v>6417</v>
      </c>
      <c r="D7" t="n">
        <v>160878395</v>
      </c>
      <c r="E7" t="n">
        <v>110000000</v>
      </c>
      <c r="F7" t="n">
        <v>0</v>
      </c>
      <c r="G7" t="n">
        <v>0</v>
      </c>
      <c r="H7" t="n">
        <v>28962</v>
      </c>
      <c r="I7">
        <f>IF(E7&gt;0,E7/D7,0)</f>
        <v/>
      </c>
      <c r="J7">
        <f>IF(F7&gt;0,F7/D7,0)</f>
        <v/>
      </c>
      <c r="K7">
        <f>IF(G7&gt;0,G7/D7,0)</f>
        <v/>
      </c>
    </row>
    <row r="8">
      <c r="A8" t="inlineStr">
        <is>
          <t>Jun-25</t>
        </is>
      </c>
      <c r="B8" t="inlineStr">
        <is>
          <t>Overall</t>
        </is>
      </c>
      <c r="C8" t="n">
        <v>7310</v>
      </c>
      <c r="D8" t="n">
        <v>196390716</v>
      </c>
      <c r="E8" t="n">
        <v>130000000</v>
      </c>
      <c r="F8" t="n">
        <v>0</v>
      </c>
      <c r="G8" t="n">
        <v>0</v>
      </c>
      <c r="H8" t="n">
        <v>26871</v>
      </c>
      <c r="I8">
        <f>IF(E8&gt;0,E8/D8,0)</f>
        <v/>
      </c>
      <c r="J8">
        <f>IF(F8&gt;0,F8/D8,0)</f>
        <v/>
      </c>
      <c r="K8">
        <f>IF(G8&gt;0,G8/D8,0)</f>
        <v/>
      </c>
    </row>
    <row r="9">
      <c r="A9" t="inlineStr">
        <is>
          <t>Jul-25</t>
        </is>
      </c>
      <c r="B9" t="inlineStr">
        <is>
          <t>Overall</t>
        </is>
      </c>
      <c r="C9" t="n">
        <v>7788</v>
      </c>
      <c r="D9" t="n">
        <v>197932414</v>
      </c>
      <c r="E9" t="n">
        <v>120000000</v>
      </c>
      <c r="F9" t="n">
        <v>0</v>
      </c>
      <c r="G9" t="n">
        <v>0</v>
      </c>
      <c r="H9" t="n">
        <v>25416</v>
      </c>
      <c r="I9">
        <f>IF(E9&gt;0,E9/D9,0)</f>
        <v/>
      </c>
      <c r="J9">
        <f>IF(F9&gt;0,F9/D9,0)</f>
        <v/>
      </c>
      <c r="K9">
        <f>IF(G9&gt;0,G9/D9,0)</f>
        <v/>
      </c>
    </row>
    <row r="10">
      <c r="A10" t="inlineStr">
        <is>
          <t>Aug-25</t>
        </is>
      </c>
      <c r="B10" t="inlineStr">
        <is>
          <t>Overall</t>
        </is>
      </c>
      <c r="C10" t="n">
        <v>8049</v>
      </c>
      <c r="D10" t="n">
        <v>176317559</v>
      </c>
      <c r="E10" t="n">
        <v>0</v>
      </c>
      <c r="F10" t="n">
        <v>0</v>
      </c>
      <c r="G10" t="n">
        <v>0</v>
      </c>
      <c r="H10" t="n">
        <v>21908</v>
      </c>
      <c r="I10">
        <f>IF(E10&gt;0,E10/D10,0)</f>
        <v/>
      </c>
      <c r="J10">
        <f>IF(F10&gt;0,F10/D10,0)</f>
        <v/>
      </c>
      <c r="K10">
        <f>IF(G10&gt;0,G10/D10,0)</f>
        <v/>
      </c>
    </row>
    <row r="11">
      <c r="A11" t="inlineStr">
        <is>
          <t>Sep-25</t>
        </is>
      </c>
      <c r="B11" t="inlineStr">
        <is>
          <t>Overall</t>
        </is>
      </c>
      <c r="C11" t="n">
        <v>7877</v>
      </c>
      <c r="D11" t="n">
        <v>207383745</v>
      </c>
      <c r="E11" t="n">
        <v>0</v>
      </c>
      <c r="F11" t="n">
        <v>0</v>
      </c>
      <c r="G11" t="n">
        <v>0</v>
      </c>
      <c r="H11" t="n">
        <v>26328</v>
      </c>
      <c r="I11">
        <f>IF(E11&gt;0,E11/D11,0)</f>
        <v/>
      </c>
      <c r="J11">
        <f>IF(F11&gt;0,F11/D11,0)</f>
        <v/>
      </c>
      <c r="K11">
        <f>IF(G11&gt;0,G11/D11,0)</f>
        <v/>
      </c>
    </row>
    <row r="12">
      <c r="A12" t="inlineStr">
        <is>
          <t>Oct-25</t>
        </is>
      </c>
      <c r="B12" t="inlineStr">
        <is>
          <t>Overall</t>
        </is>
      </c>
      <c r="C12" t="n">
        <v>7350</v>
      </c>
      <c r="D12" t="n">
        <v>216933118</v>
      </c>
      <c r="E12" t="n">
        <v>0</v>
      </c>
      <c r="F12" t="n">
        <v>0</v>
      </c>
      <c r="G12" t="n">
        <v>0</v>
      </c>
      <c r="H12" t="n">
        <v>29515</v>
      </c>
      <c r="I12">
        <f>IF(E12&gt;0,E12/D12,0)</f>
        <v/>
      </c>
      <c r="J12">
        <f>IF(F12&gt;0,F12/D12,0)</f>
        <v/>
      </c>
      <c r="K12">
        <f>IF(G12&gt;0,G12/D12,0)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5" customWidth="1" min="3" max="3"/>
    <col width="18" customWidth="1" min="4" max="4"/>
    <col width="18" customWidth="1" min="5" max="5"/>
    <col width="10" customWidth="1" min="6" max="6"/>
    <col width="25" customWidth="1" min="7" max="7"/>
    <col width="15" customWidth="1" min="8" max="8"/>
  </cols>
  <sheetData>
    <row r="1">
      <c r="A1" s="2" t="inlineStr">
        <is>
          <t>Stage</t>
        </is>
      </c>
      <c r="B1" s="2" t="inlineStr">
        <is>
          <t>Sub_Stage</t>
        </is>
      </c>
      <c r="C1" s="2" t="inlineStr">
        <is>
          <t>Metric</t>
        </is>
      </c>
      <c r="D1" s="2" t="inlineStr">
        <is>
          <t>TTM_Value</t>
        </is>
      </c>
      <c r="E1" s="2" t="inlineStr">
        <is>
          <t>3M_Avg</t>
        </is>
      </c>
      <c r="F1" s="2" t="inlineStr">
        <is>
          <t>Unit</t>
        </is>
      </c>
      <c r="G1" s="2" t="inlineStr">
        <is>
          <t>Formula_Reference</t>
        </is>
      </c>
      <c r="H1" s="2" t="inlineStr">
        <is>
          <t>Source_Sheet</t>
        </is>
      </c>
    </row>
    <row r="2">
      <c r="A2" t="inlineStr">
        <is>
          <t>A. ACQUISITION</t>
        </is>
      </c>
      <c r="B2" t="inlineStr">
        <is>
          <t>A1. Investment</t>
        </is>
      </c>
      <c r="C2" t="inlineStr">
        <is>
          <t>Total Spend (Cr)</t>
        </is>
      </c>
      <c r="D2" s="8">
        <f>Core_Digital!D14/10000000</f>
        <v/>
      </c>
      <c r="E2" s="8">
        <f>Core_Digital!D15/10000000</f>
        <v/>
      </c>
      <c r="F2" t="inlineStr">
        <is>
          <t>₹ Cr</t>
        </is>
      </c>
      <c r="G2" t="inlineStr">
        <is>
          <t>SUM(Perf_Spends)</t>
        </is>
      </c>
      <c r="H2" t="inlineStr">
        <is>
          <t>Core_Digital</t>
        </is>
      </c>
    </row>
    <row r="3">
      <c r="A3" t="inlineStr">
        <is>
          <t>A. ACQUISITION</t>
        </is>
      </c>
      <c r="B3" t="inlineStr">
        <is>
          <t>A1. Investment</t>
        </is>
      </c>
      <c r="C3" t="inlineStr">
        <is>
          <t>- Google Paid (Cr)</t>
        </is>
      </c>
      <c r="D3" s="8">
        <f>Google_Web!C14/10000000</f>
        <v/>
      </c>
      <c r="E3" s="8">
        <f>Google_Web!C14/3/10000000</f>
        <v/>
      </c>
      <c r="F3" t="inlineStr">
        <is>
          <t>₹ Cr</t>
        </is>
      </c>
      <c r="G3" t="inlineStr">
        <is>
          <t>SUM(Google.Spends)</t>
        </is>
      </c>
      <c r="H3" t="inlineStr">
        <is>
          <t>Google_Web</t>
        </is>
      </c>
    </row>
    <row r="4">
      <c r="A4" t="inlineStr">
        <is>
          <t>A. ACQUISITION</t>
        </is>
      </c>
      <c r="B4" t="inlineStr">
        <is>
          <t>A1. Investment</t>
        </is>
      </c>
      <c r="C4" t="inlineStr">
        <is>
          <t>- Meta Paid (Cr)</t>
        </is>
      </c>
      <c r="D4" s="8">
        <f>Meta_Web!C14/10000000</f>
        <v/>
      </c>
      <c r="E4" s="8">
        <f>Meta_Web!C14/3/10000000</f>
        <v/>
      </c>
      <c r="F4" t="inlineStr">
        <is>
          <t>₹ Cr</t>
        </is>
      </c>
      <c r="G4" t="inlineStr">
        <is>
          <t>SUM(Meta.Spends)</t>
        </is>
      </c>
      <c r="H4" t="inlineStr">
        <is>
          <t>Meta_Web</t>
        </is>
      </c>
    </row>
    <row r="5">
      <c r="A5" t="inlineStr">
        <is>
          <t>A. ACQUISITION</t>
        </is>
      </c>
      <c r="B5" t="inlineStr">
        <is>
          <t>A2. Leads</t>
        </is>
      </c>
      <c r="C5" t="inlineStr">
        <is>
          <t>Total Leads</t>
        </is>
      </c>
      <c r="D5" s="8">
        <f>Core_Digital!L14</f>
        <v/>
      </c>
      <c r="E5" s="8">
        <f>Core_Digital!L15</f>
        <v/>
      </c>
      <c r="F5" t="inlineStr">
        <is>
          <t>Count</t>
        </is>
      </c>
      <c r="G5" t="inlineStr">
        <is>
          <t>SUM(Leads)</t>
        </is>
      </c>
      <c r="H5" t="inlineStr">
        <is>
          <t>Core_Digital</t>
        </is>
      </c>
    </row>
    <row r="6">
      <c r="A6" t="inlineStr">
        <is>
          <t>A. ACQUISITION</t>
        </is>
      </c>
      <c r="B6" t="inlineStr">
        <is>
          <t>A2. Leads</t>
        </is>
      </c>
      <c r="C6" t="inlineStr">
        <is>
          <t>- Google Paid</t>
        </is>
      </c>
      <c r="D6" s="8">
        <f>Google_Web!F14</f>
        <v/>
      </c>
      <c r="E6" s="8">
        <f>Google_Web!F14/12</f>
        <v/>
      </c>
      <c r="F6" t="inlineStr">
        <is>
          <t>Count</t>
        </is>
      </c>
      <c r="G6" t="inlineStr">
        <is>
          <t>SUM(Google.Leads)</t>
        </is>
      </c>
      <c r="H6" t="inlineStr">
        <is>
          <t>Google_Web</t>
        </is>
      </c>
    </row>
    <row r="7">
      <c r="A7" t="inlineStr">
        <is>
          <t>A. ACQUISITION</t>
        </is>
      </c>
      <c r="B7" t="inlineStr">
        <is>
          <t>A2. Leads</t>
        </is>
      </c>
      <c r="C7" t="inlineStr">
        <is>
          <t>- Meta Paid</t>
        </is>
      </c>
      <c r="D7" s="8">
        <f>Meta_Web!F14</f>
        <v/>
      </c>
      <c r="E7" s="8">
        <f>Meta_Web!F14/12</f>
        <v/>
      </c>
      <c r="F7" t="inlineStr">
        <is>
          <t>Count</t>
        </is>
      </c>
      <c r="G7" t="inlineStr">
        <is>
          <t>SUM(Meta.Leads)</t>
        </is>
      </c>
      <c r="H7" t="inlineStr">
        <is>
          <t>Meta_Web</t>
        </is>
      </c>
    </row>
    <row r="8">
      <c r="A8" t="inlineStr">
        <is>
          <t>A. ACQUISITION</t>
        </is>
      </c>
      <c r="B8" t="inlineStr">
        <is>
          <t>A2. Leads</t>
        </is>
      </c>
      <c r="C8" t="inlineStr">
        <is>
          <t>- Website Organic</t>
        </is>
      </c>
      <c r="D8" s="8">
        <f>Website_Organic!C14</f>
        <v/>
      </c>
      <c r="E8" s="8">
        <f>Website_Organic!C14/12</f>
        <v/>
      </c>
      <c r="F8" t="inlineStr">
        <is>
          <t>Count</t>
        </is>
      </c>
      <c r="G8" t="inlineStr">
        <is>
          <t>SUM(WebOrg.Leads)</t>
        </is>
      </c>
      <c r="H8" t="inlineStr">
        <is>
          <t>Website_Organic</t>
        </is>
      </c>
    </row>
    <row r="9">
      <c r="A9" t="inlineStr">
        <is>
          <t>A. ACQUISITION</t>
        </is>
      </c>
      <c r="B9" t="inlineStr">
        <is>
          <t>A2. Leads</t>
        </is>
      </c>
      <c r="C9" t="inlineStr">
        <is>
          <t>- App Organic</t>
        </is>
      </c>
      <c r="D9" s="8">
        <f>App_Organic!C14</f>
        <v/>
      </c>
      <c r="E9" s="8">
        <f>App_Organic!C14/12</f>
        <v/>
      </c>
      <c r="F9" t="inlineStr">
        <is>
          <t>Count</t>
        </is>
      </c>
      <c r="G9" t="inlineStr">
        <is>
          <t>SUM(App.Leads)</t>
        </is>
      </c>
      <c r="H9" t="inlineStr">
        <is>
          <t>App_Organic</t>
        </is>
      </c>
    </row>
    <row r="10">
      <c r="A10" t="inlineStr">
        <is>
          <t>A. ACQUISITION</t>
        </is>
      </c>
      <c r="B10" t="inlineStr">
        <is>
          <t>A2. Leads</t>
        </is>
      </c>
      <c r="C10" t="inlineStr">
        <is>
          <t>- GMB (Direct)</t>
        </is>
      </c>
      <c r="D10" s="8">
        <f>GMB!E14</f>
        <v/>
      </c>
      <c r="E10" s="8">
        <f>GMB!E14/12</f>
        <v/>
      </c>
      <c r="F10" t="inlineStr">
        <is>
          <t>Count</t>
        </is>
      </c>
      <c r="G10" t="inlineStr">
        <is>
          <t>SUM(GMB.Leads)</t>
        </is>
      </c>
      <c r="H10" t="inlineStr">
        <is>
          <t>GMB</t>
        </is>
      </c>
    </row>
    <row r="11">
      <c r="A11" t="inlineStr">
        <is>
          <t>A. ACQUISITION</t>
        </is>
      </c>
      <c r="B11" t="inlineStr">
        <is>
          <t>A2. Leads</t>
        </is>
      </c>
      <c r="C11" t="inlineStr">
        <is>
          <t>- Aggregator</t>
        </is>
      </c>
      <c r="D11" s="8">
        <f>Aggregator!C14</f>
        <v/>
      </c>
      <c r="E11" s="8">
        <f>Aggregator!C14/12</f>
        <v/>
      </c>
      <c r="F11" t="inlineStr">
        <is>
          <t>Count</t>
        </is>
      </c>
      <c r="G11" t="inlineStr">
        <is>
          <t>SUM(Agg.Leads)</t>
        </is>
      </c>
      <c r="H11" t="inlineStr">
        <is>
          <t>Aggregator</t>
        </is>
      </c>
    </row>
    <row r="12">
      <c r="A12" t="inlineStr">
        <is>
          <t>A. ACQUISITION</t>
        </is>
      </c>
      <c r="B12" t="inlineStr">
        <is>
          <t>A2. Leads</t>
        </is>
      </c>
      <c r="C12" t="inlineStr">
        <is>
          <t>Website Traffic Leads</t>
        </is>
      </c>
      <c r="D12" s="8">
        <f>Google_Web!F14+Meta_Web!F14+Website_Organic!C14+App_Organic!C14</f>
        <v/>
      </c>
      <c r="E12" s="8">
        <f>(Google_Web!F14+Meta_Web!F14+Website_Organic!C14+App_Organic!C14)/12</f>
        <v/>
      </c>
      <c r="F12" t="inlineStr">
        <is>
          <t>Count</t>
        </is>
      </c>
      <c r="G12" t="inlineStr">
        <is>
          <t>Google+Meta+WebOrg+App</t>
        </is>
      </c>
      <c r="H12" t="inlineStr">
        <is>
          <t>Calculated</t>
        </is>
      </c>
    </row>
    <row r="13">
      <c r="A13" t="inlineStr">
        <is>
          <t>A. ACQUISITION</t>
        </is>
      </c>
      <c r="B13" t="inlineStr">
        <is>
          <t>A2. Leads</t>
        </is>
      </c>
      <c r="C13" t="inlineStr">
        <is>
          <t>CPL (Paid Only)</t>
        </is>
      </c>
      <c r="D13" s="8">
        <f>(Google_Web!C14+Meta_Web!C14)/(Google_Web!F14+Meta_Web!F14)</f>
        <v/>
      </c>
      <c r="E13" s="8">
        <f>(Google_Web!C14+Meta_Web!C14)/(Google_Web!F14+Meta_Web!F14)</f>
        <v/>
      </c>
      <c r="F13" t="inlineStr">
        <is>
          <t>₹</t>
        </is>
      </c>
      <c r="G13" t="inlineStr">
        <is>
          <t>PaidSpend/PaidLeads</t>
        </is>
      </c>
      <c r="H13" t="inlineStr">
        <is>
          <t>Calculated</t>
        </is>
      </c>
    </row>
    <row r="14">
      <c r="A14" t="inlineStr">
        <is>
          <t>A. ACQUISITION</t>
        </is>
      </c>
      <c r="B14" t="inlineStr">
        <is>
          <t>A3. Website CVR</t>
        </is>
      </c>
      <c r="C14" t="inlineStr">
        <is>
          <t>L→AS Rate (Overall)</t>
        </is>
      </c>
      <c r="D14" s="8">
        <f>Core_Digital!M14/Core_Digital!L14</f>
        <v/>
      </c>
      <c r="E14" s="8">
        <f>Core_Digital!M15/Core_Digital!L15</f>
        <v/>
      </c>
      <c r="F14" t="inlineStr">
        <is>
          <t>%</t>
        </is>
      </c>
      <c r="G14" t="inlineStr">
        <is>
          <t>AS/Leads</t>
        </is>
      </c>
      <c r="H14" t="inlineStr">
        <is>
          <t>Core_Digital</t>
        </is>
      </c>
    </row>
    <row r="15">
      <c r="A15" t="inlineStr">
        <is>
          <t>A. ACQUISITION</t>
        </is>
      </c>
      <c r="B15" t="inlineStr">
        <is>
          <t>A3. Website CVR</t>
        </is>
      </c>
      <c r="C15" t="inlineStr">
        <is>
          <t>L→AS Rate (Paid)</t>
        </is>
      </c>
      <c r="D15" s="8">
        <f>(Google_Web!G14+Meta_Web!G14)/(Google_Web!F14+Meta_Web!F14)</f>
        <v/>
      </c>
      <c r="E15" s="8">
        <f>(Google_Web!G14+Meta_Web!G14)/(Google_Web!F14+Meta_Web!F14)</f>
        <v/>
      </c>
      <c r="F15" t="inlineStr">
        <is>
          <t>%</t>
        </is>
      </c>
      <c r="G15" t="inlineStr">
        <is>
          <t>Paid.AS/Paid.Leads</t>
        </is>
      </c>
      <c r="H15" t="inlineStr">
        <is>
          <t>Calculated</t>
        </is>
      </c>
    </row>
    <row r="16">
      <c r="A16" t="inlineStr">
        <is>
          <t>A. ACQUISITION</t>
        </is>
      </c>
      <c r="B16" t="inlineStr">
        <is>
          <t>A3. Website CVR</t>
        </is>
      </c>
      <c r="C16" t="inlineStr">
        <is>
          <t>L→AS Rate (Organic)</t>
        </is>
      </c>
      <c r="D16" s="8">
        <f>Website_Organic!D14/Website_Organic!C14</f>
        <v/>
      </c>
      <c r="E16" s="8">
        <f>Website_Organic!D14/Website_Organic!C14</f>
        <v/>
      </c>
      <c r="F16" t="inlineStr">
        <is>
          <t>%</t>
        </is>
      </c>
      <c r="G16" t="inlineStr">
        <is>
          <t>WebOrg.AS/WebOrg.Leads</t>
        </is>
      </c>
      <c r="H16" t="inlineStr">
        <is>
          <t>Website_Organic</t>
        </is>
      </c>
    </row>
    <row r="17">
      <c r="A17" t="inlineStr">
        <is>
          <t>A. ACQUISITION</t>
        </is>
      </c>
      <c r="B17" t="inlineStr">
        <is>
          <t>A4. Appointments</t>
        </is>
      </c>
      <c r="C17" t="inlineStr">
        <is>
          <t>Total AS</t>
        </is>
      </c>
      <c r="D17" s="8">
        <f>Core_Digital!M14</f>
        <v/>
      </c>
      <c r="E17" s="8">
        <f>Core_Digital!M15</f>
        <v/>
      </c>
      <c r="F17" t="inlineStr">
        <is>
          <t>Count</t>
        </is>
      </c>
      <c r="G17" t="inlineStr">
        <is>
          <t>SUM(AS)</t>
        </is>
      </c>
      <c r="H17" t="inlineStr">
        <is>
          <t>Core_Digital</t>
        </is>
      </c>
    </row>
    <row r="18">
      <c r="A18" t="inlineStr">
        <is>
          <t>A. ACQUISITION</t>
        </is>
      </c>
      <c r="B18" t="inlineStr">
        <is>
          <t>A4. Appointments</t>
        </is>
      </c>
      <c r="C18" t="inlineStr">
        <is>
          <t>- Paid AS</t>
        </is>
      </c>
      <c r="D18" s="8">
        <f>Google_Web!G14+Meta_Web!G14</f>
        <v/>
      </c>
      <c r="E18" s="8">
        <f>(Google_Web!G14+Meta_Web!G14)/12</f>
        <v/>
      </c>
      <c r="F18" t="inlineStr">
        <is>
          <t>Count</t>
        </is>
      </c>
      <c r="G18" t="inlineStr">
        <is>
          <t>Google.AS+Meta.AS</t>
        </is>
      </c>
      <c r="H18" t="inlineStr">
        <is>
          <t>Calculated</t>
        </is>
      </c>
    </row>
    <row r="19">
      <c r="A19" t="inlineStr">
        <is>
          <t>A. ACQUISITION</t>
        </is>
      </c>
      <c r="B19" t="inlineStr">
        <is>
          <t>A4. Appointments</t>
        </is>
      </c>
      <c r="C19" t="inlineStr">
        <is>
          <t>- Organic AS</t>
        </is>
      </c>
      <c r="D19" s="8">
        <f>Core_Digital!M14-(Google_Web!G14+Meta_Web!G14)</f>
        <v/>
      </c>
      <c r="E19" s="8">
        <f>Core_Digital!M15-(Google_Web!G14+Meta_Web!G14)/12</f>
        <v/>
      </c>
      <c r="F19" t="inlineStr">
        <is>
          <t>Count</t>
        </is>
      </c>
      <c r="G19" t="inlineStr">
        <is>
          <t>Total.AS - Paid.AS</t>
        </is>
      </c>
      <c r="H19" t="inlineStr">
        <is>
          <t>Calculated</t>
        </is>
      </c>
    </row>
    <row r="20">
      <c r="A20" t="inlineStr">
        <is>
          <t>A. ACQUISITION</t>
        </is>
      </c>
      <c r="B20" t="inlineStr">
        <is>
          <t>A5. Show Rate</t>
        </is>
      </c>
      <c r="C20" t="inlineStr">
        <is>
          <t>AS→Walk-in Rate</t>
        </is>
      </c>
      <c r="D20" s="8">
        <f>Core_Digital!N14/Core_Digital!M14</f>
        <v/>
      </c>
      <c r="E20" s="8">
        <f>Core_Digital!N15/Core_Digital!M15</f>
        <v/>
      </c>
      <c r="F20" t="inlineStr">
        <is>
          <t>%</t>
        </is>
      </c>
      <c r="G20" t="inlineStr">
        <is>
          <t>Walkin/AS</t>
        </is>
      </c>
      <c r="H20" t="inlineStr">
        <is>
          <t>Core_Digital</t>
        </is>
      </c>
    </row>
    <row r="21">
      <c r="A21" t="inlineStr">
        <is>
          <t>A. ACQUISITION</t>
        </is>
      </c>
      <c r="B21" t="inlineStr">
        <is>
          <t>A6. Walk-ins</t>
        </is>
      </c>
      <c r="C21" t="inlineStr">
        <is>
          <t>Total Walk-ins</t>
        </is>
      </c>
      <c r="D21" s="8">
        <f>Core_Digital!N14</f>
        <v/>
      </c>
      <c r="E21" s="8">
        <f>Core_Digital!N15</f>
        <v/>
      </c>
      <c r="F21" t="inlineStr">
        <is>
          <t>Count</t>
        </is>
      </c>
      <c r="G21" t="inlineStr">
        <is>
          <t>SUM(Walkin)</t>
        </is>
      </c>
      <c r="H21" t="inlineStr">
        <is>
          <t>Core_Digital</t>
        </is>
      </c>
    </row>
    <row r="22">
      <c r="A22" t="inlineStr">
        <is>
          <t>A. ACQUISITION</t>
        </is>
      </c>
      <c r="B22" t="inlineStr">
        <is>
          <t>A7. Conversion</t>
        </is>
      </c>
      <c r="C22" t="inlineStr">
        <is>
          <t>Walk-in→NCA Rate</t>
        </is>
      </c>
      <c r="D22" s="8">
        <f>Core_Digital!V14/Core_Digital!N14</f>
        <v/>
      </c>
      <c r="E22" s="8">
        <f>Core_Digital!V15/Core_Digital!N15</f>
        <v/>
      </c>
      <c r="F22" t="inlineStr">
        <is>
          <t>%</t>
        </is>
      </c>
      <c r="G22" t="inlineStr">
        <is>
          <t>NCA/Walkin</t>
        </is>
      </c>
      <c r="H22" t="inlineStr">
        <is>
          <t>Core_Digital</t>
        </is>
      </c>
    </row>
    <row r="23">
      <c r="A23" t="inlineStr">
        <is>
          <t>A. ACQUISITION</t>
        </is>
      </c>
      <c r="B23" t="inlineStr">
        <is>
          <t>A8. New Customers</t>
        </is>
      </c>
      <c r="C23" t="inlineStr">
        <is>
          <t>NCA</t>
        </is>
      </c>
      <c r="D23" s="8">
        <f>Core_Digital!V14</f>
        <v/>
      </c>
      <c r="E23" s="8">
        <f>Core_Digital!V15</f>
        <v/>
      </c>
      <c r="F23" t="inlineStr">
        <is>
          <t>Count</t>
        </is>
      </c>
      <c r="G23" t="inlineStr">
        <is>
          <t>SUM(NCA)</t>
        </is>
      </c>
      <c r="H23" t="inlineStr">
        <is>
          <t>Core_Digital</t>
        </is>
      </c>
    </row>
    <row r="24">
      <c r="A24" t="inlineStr">
        <is>
          <t>E. ENGAGEMENT</t>
        </is>
      </c>
      <c r="B24" t="inlineStr">
        <is>
          <t>E1. Transactions</t>
        </is>
      </c>
      <c r="C24" t="inlineStr">
        <is>
          <t>Total Transactions</t>
        </is>
      </c>
      <c r="D24" s="8">
        <f>Core_Digital!AA14</f>
        <v/>
      </c>
      <c r="E24" s="8">
        <f>Core_Digital!AA15</f>
        <v/>
      </c>
      <c r="F24" t="inlineStr">
        <is>
          <t>Count</t>
        </is>
      </c>
      <c r="G24" t="inlineStr">
        <is>
          <t>SUM(Transactions)</t>
        </is>
      </c>
      <c r="H24" t="inlineStr">
        <is>
          <t>Core_Digital</t>
        </is>
      </c>
    </row>
    <row r="25">
      <c r="A25" t="inlineStr">
        <is>
          <t>E. ENGAGEMENT</t>
        </is>
      </c>
      <c r="B25" t="inlineStr">
        <is>
          <t>E1. Transactions</t>
        </is>
      </c>
      <c r="C25" t="inlineStr">
        <is>
          <t>Txn per NCA</t>
        </is>
      </c>
      <c r="D25" s="8">
        <f>Core_Digital!AA14/Core_Digital!V14</f>
        <v/>
      </c>
      <c r="E25" s="8">
        <f>Core_Digital!AA15/Core_Digital!V15</f>
        <v/>
      </c>
      <c r="F25" t="inlineStr">
        <is>
          <t>Ratio</t>
        </is>
      </c>
      <c r="G25" t="inlineStr">
        <is>
          <t>Transactions/NCA</t>
        </is>
      </c>
      <c r="H25" t="inlineStr">
        <is>
          <t>Calculated</t>
        </is>
      </c>
    </row>
    <row r="26">
      <c r="A26" t="inlineStr">
        <is>
          <t>E. ENGAGEMENT</t>
        </is>
      </c>
      <c r="B26" t="inlineStr">
        <is>
          <t>E2. AOV</t>
        </is>
      </c>
      <c r="C26" t="inlineStr">
        <is>
          <t>Overall AOV</t>
        </is>
      </c>
      <c r="D26" s="8">
        <f>Core_Digital!U14</f>
        <v/>
      </c>
      <c r="E26" s="8">
        <f>Core_Digital!U15</f>
        <v/>
      </c>
      <c r="F26" t="inlineStr">
        <is>
          <t>₹</t>
        </is>
      </c>
      <c r="G26" t="inlineStr">
        <is>
          <t>AVERAGE(AOV)</t>
        </is>
      </c>
      <c r="H26" t="inlineStr">
        <is>
          <t>Core_Digital</t>
        </is>
      </c>
    </row>
    <row r="27">
      <c r="A27" t="inlineStr">
        <is>
          <t>E. ENGAGEMENT</t>
        </is>
      </c>
      <c r="B27" t="inlineStr">
        <is>
          <t>E2. AOV</t>
        </is>
      </c>
      <c r="C27" t="inlineStr">
        <is>
          <t>New Customer AOV</t>
        </is>
      </c>
      <c r="D27" s="8">
        <f>Core_Digital!W14/Core_Digital!V14</f>
        <v/>
      </c>
      <c r="E27" s="8">
        <f>Core_Digital!W15/Core_Digital!V15</f>
        <v/>
      </c>
      <c r="F27" t="inlineStr">
        <is>
          <t>₹</t>
        </is>
      </c>
      <c r="G27" t="inlineStr">
        <is>
          <t>NewRev/NCA</t>
        </is>
      </c>
      <c r="H27" t="inlineStr">
        <is>
          <t>Calculated</t>
        </is>
      </c>
    </row>
    <row r="28">
      <c r="A28" t="inlineStr">
        <is>
          <t>R. RETENTION</t>
        </is>
      </c>
      <c r="B28" t="inlineStr">
        <is>
          <t>R1. LTV</t>
        </is>
      </c>
      <c r="C28" t="inlineStr">
        <is>
          <t>M0 LTV (First Visit)</t>
        </is>
      </c>
      <c r="D28" s="8">
        <f>Core_Digital!W14/Core_Digital!V14</f>
        <v/>
      </c>
      <c r="E28" s="8">
        <f>Core_Digital!W15/Core_Digital!V15</f>
        <v/>
      </c>
      <c r="F28" t="inlineStr">
        <is>
          <t>₹</t>
        </is>
      </c>
      <c r="G28" t="inlineStr">
        <is>
          <t>NewRev/NCA</t>
        </is>
      </c>
      <c r="H28" t="inlineStr">
        <is>
          <t>Core_Digital</t>
        </is>
      </c>
    </row>
    <row r="29">
      <c r="A29" t="inlineStr">
        <is>
          <t>R. RETENTION</t>
        </is>
      </c>
      <c r="B29" t="inlineStr">
        <is>
          <t>R1. LTV</t>
        </is>
      </c>
      <c r="C29" t="inlineStr">
        <is>
          <t>M3 Retention %</t>
        </is>
      </c>
      <c r="D29" s="8">
        <f>Config!B9</f>
        <v/>
      </c>
      <c r="E29" s="8">
        <f>Config!B9</f>
        <v/>
      </c>
      <c r="F29" t="inlineStr">
        <is>
          <t>%</t>
        </is>
      </c>
      <c r="G29" t="inlineStr">
        <is>
          <t>Config.M3_Retention</t>
        </is>
      </c>
      <c r="H29" t="inlineStr">
        <is>
          <t>Config</t>
        </is>
      </c>
    </row>
    <row r="30">
      <c r="A30" t="inlineStr">
        <is>
          <t>R. RETENTION</t>
        </is>
      </c>
      <c r="B30" t="inlineStr">
        <is>
          <t>R1. LTV</t>
        </is>
      </c>
      <c r="C30" t="inlineStr">
        <is>
          <t>M6 Retention %</t>
        </is>
      </c>
      <c r="D30" s="8">
        <f>Config!B10</f>
        <v/>
      </c>
      <c r="E30" s="8">
        <f>Config!B10</f>
        <v/>
      </c>
      <c r="F30" t="inlineStr">
        <is>
          <t>%</t>
        </is>
      </c>
      <c r="G30" t="inlineStr">
        <is>
          <t>Config.M6_Retention</t>
        </is>
      </c>
      <c r="H30" t="inlineStr">
        <is>
          <t>Config</t>
        </is>
      </c>
    </row>
    <row r="31">
      <c r="A31" t="inlineStr">
        <is>
          <t>R. RETENTION</t>
        </is>
      </c>
      <c r="B31" t="inlineStr">
        <is>
          <t>R1. LTV</t>
        </is>
      </c>
      <c r="C31" t="inlineStr">
        <is>
          <t>M9 Retention %</t>
        </is>
      </c>
      <c r="D31" s="8">
        <f>Config!B11</f>
        <v/>
      </c>
      <c r="E31" s="8">
        <f>Config!B11</f>
        <v/>
      </c>
      <c r="F31" t="inlineStr">
        <is>
          <t>%</t>
        </is>
      </c>
      <c r="G31" t="inlineStr">
        <is>
          <t>Config.M9_Retention</t>
        </is>
      </c>
      <c r="H31" t="inlineStr">
        <is>
          <t>Config</t>
        </is>
      </c>
    </row>
    <row r="32">
      <c r="A32" t="inlineStr">
        <is>
          <t>REVENUE</t>
        </is>
      </c>
      <c r="B32" t="inlineStr">
        <is>
          <t>Total</t>
        </is>
      </c>
      <c r="C32" t="inlineStr">
        <is>
          <t>Total Revenue (Cr)</t>
        </is>
      </c>
      <c r="D32" s="8">
        <f>Core_Digital!O14/10000000</f>
        <v/>
      </c>
      <c r="E32" s="8">
        <f>Core_Digital!O15/10000000</f>
        <v/>
      </c>
      <c r="F32" t="inlineStr">
        <is>
          <t>₹ Cr</t>
        </is>
      </c>
      <c r="G32" t="inlineStr">
        <is>
          <t>SUM(Total_Rev)</t>
        </is>
      </c>
      <c r="H32" t="inlineStr">
        <is>
          <t>Core_Digital</t>
        </is>
      </c>
    </row>
    <row r="33">
      <c r="A33" t="inlineStr">
        <is>
          <t>REVENUE</t>
        </is>
      </c>
      <c r="B33" t="inlineStr">
        <is>
          <t>Total</t>
        </is>
      </c>
      <c r="C33" t="inlineStr">
        <is>
          <t>New Customer Revenue (Cr)</t>
        </is>
      </c>
      <c r="D33" s="8">
        <f>Core_Digital!W14/10000000</f>
        <v/>
      </c>
      <c r="E33" s="8">
        <f>Core_Digital!W15/10000000</f>
        <v/>
      </c>
      <c r="F33" t="inlineStr">
        <is>
          <t>₹ Cr</t>
        </is>
      </c>
      <c r="G33" t="inlineStr">
        <is>
          <t>SUM(New_Rev)</t>
        </is>
      </c>
      <c r="H33" t="inlineStr">
        <is>
          <t>Core_Digital</t>
        </is>
      </c>
    </row>
    <row r="34">
      <c r="A34" t="inlineStr">
        <is>
          <t>REVENUE</t>
        </is>
      </c>
      <c r="B34" t="inlineStr">
        <is>
          <t>Total</t>
        </is>
      </c>
      <c r="C34" t="inlineStr">
        <is>
          <t>Existing Customer Revenue (Cr)</t>
        </is>
      </c>
      <c r="D34" s="8">
        <f>Core_Digital!P14/10000000</f>
        <v/>
      </c>
      <c r="E34" s="8">
        <f>Core_Digital!P15/10000000</f>
        <v/>
      </c>
      <c r="F34" t="inlineStr">
        <is>
          <t>₹ Cr</t>
        </is>
      </c>
      <c r="G34" t="inlineStr">
        <is>
          <t>SUM(Exist_Rev)</t>
        </is>
      </c>
      <c r="H34" t="inlineStr">
        <is>
          <t>Core_Digital</t>
        </is>
      </c>
    </row>
    <row r="35">
      <c r="A35" t="inlineStr">
        <is>
          <t>REVENUE</t>
        </is>
      </c>
      <c r="B35" t="inlineStr">
        <is>
          <t>Total</t>
        </is>
      </c>
      <c r="C35" t="inlineStr">
        <is>
          <t>New Rev %</t>
        </is>
      </c>
      <c r="D35" s="8">
        <f>Core_Digital!W14/Core_Digital!O14</f>
        <v/>
      </c>
      <c r="E35" s="8">
        <f>Core_Digital!W15/Core_Digital!O15</f>
        <v/>
      </c>
      <c r="F35" t="inlineStr">
        <is>
          <t>%</t>
        </is>
      </c>
      <c r="G35" t="inlineStr">
        <is>
          <t>NewRev/TotalRev</t>
        </is>
      </c>
      <c r="H35" t="inlineStr">
        <is>
          <t>Calculated</t>
        </is>
      </c>
    </row>
    <row r="36">
      <c r="A36" t="inlineStr">
        <is>
          <t>REVENUE</t>
        </is>
      </c>
      <c r="B36" t="inlineStr">
        <is>
          <t>Total</t>
        </is>
      </c>
      <c r="C36" t="inlineStr">
        <is>
          <t>Existing Rev %</t>
        </is>
      </c>
      <c r="D36" s="8">
        <f>Core_Digital!P14/Core_Digital!O14</f>
        <v/>
      </c>
      <c r="E36" s="8">
        <f>Core_Digital!P15/Core_Digital!O15</f>
        <v/>
      </c>
      <c r="F36" t="inlineStr">
        <is>
          <t>%</t>
        </is>
      </c>
      <c r="G36" t="inlineStr">
        <is>
          <t>ExistRev/TotalRev</t>
        </is>
      </c>
      <c r="H36" t="inlineStr">
        <is>
          <t>Calculated</t>
        </is>
      </c>
    </row>
    <row r="37">
      <c r="A37" t="inlineStr">
        <is>
          <t>REVENUE</t>
        </is>
      </c>
      <c r="B37" t="inlineStr">
        <is>
          <t>Total</t>
        </is>
      </c>
      <c r="C37" t="inlineStr">
        <is>
          <t>Blended ROI</t>
        </is>
      </c>
      <c r="D37" s="8">
        <f>Core_Digital!O14/Core_Digital!D14</f>
        <v/>
      </c>
      <c r="E37" s="8">
        <f>Core_Digital!O15/Core_Digital!D15</f>
        <v/>
      </c>
      <c r="F37" t="inlineStr">
        <is>
          <t>x</t>
        </is>
      </c>
      <c r="G37" t="inlineStr">
        <is>
          <t>TotalRev/Spend</t>
        </is>
      </c>
      <c r="H37" t="inlineStr">
        <is>
          <t>Calculated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5" customWidth="1" min="4" max="4"/>
    <col width="12" customWidth="1" min="5" max="5"/>
    <col width="30" customWidth="1" min="6" max="6"/>
  </cols>
  <sheetData>
    <row r="1">
      <c r="A1" s="2" t="inlineStr">
        <is>
          <t>Check_Name</t>
        </is>
      </c>
      <c r="B1" s="2" t="inlineStr">
        <is>
          <t>Expected</t>
        </is>
      </c>
      <c r="C1" s="2" t="inlineStr">
        <is>
          <t>Actual</t>
        </is>
      </c>
      <c r="D1" s="2" t="inlineStr">
        <is>
          <t>Difference</t>
        </is>
      </c>
      <c r="E1" s="2" t="inlineStr">
        <is>
          <t>Status</t>
        </is>
      </c>
      <c r="F1" s="2" t="inlineStr">
        <is>
          <t>Formula</t>
        </is>
      </c>
    </row>
    <row r="2">
      <c r="A2" t="inlineStr">
        <is>
          <t>Total Leads = Sum of Channels</t>
        </is>
      </c>
      <c r="B2">
        <f>Core_Digital!L14</f>
        <v/>
      </c>
      <c r="C2">
        <f>Google_Web!F14+Meta_Web!F14+GMB!E14+Website_Organic!C14+Aggregator!C14+App_Organic!C14</f>
        <v/>
      </c>
      <c r="D2">
        <f>B2-C2</f>
        <v/>
      </c>
      <c r="E2" s="3">
        <f>IF(ABS(D2)&lt;100,"✓ OK","✗ CHECK")</f>
        <v/>
      </c>
      <c r="F2" t="inlineStr">
        <is>
          <t>Core.Leads vs Sum(Channel.Leads)</t>
        </is>
      </c>
    </row>
    <row r="3">
      <c r="A3" t="inlineStr">
        <is>
          <t>Total Revenue = Sum of Channels</t>
        </is>
      </c>
      <c r="B3">
        <f>Core_Digital!O14</f>
        <v/>
      </c>
      <c r="C3">
        <f>Google_Web!I14+Meta_Web!I14+GMB!H14+Website_Organic!F14+Aggregator!F14+App_Organic!F14</f>
        <v/>
      </c>
      <c r="D3">
        <f>B3-C3</f>
        <v/>
      </c>
      <c r="E3" s="3">
        <f>IF(ABS(D3/B3)&lt;0.05,"✓ OK","✗ CHECK")</f>
        <v/>
      </c>
      <c r="F3" t="inlineStr">
        <is>
          <t>Core.Rev vs Sum(Channel.Rev)</t>
        </is>
      </c>
    </row>
    <row r="4">
      <c r="A4" t="inlineStr">
        <is>
          <t>Total NCA = Sum of Channels</t>
        </is>
      </c>
      <c r="B4">
        <f>Core_Digital!V14</f>
        <v/>
      </c>
      <c r="C4">
        <f>Google_Web!K14+Meta_Web!K14+GMB!J14+Website_Organic!H14+Aggregator!H14+App_Organic!H14</f>
        <v/>
      </c>
      <c r="D4">
        <f>B4-C4</f>
        <v/>
      </c>
      <c r="E4" s="3">
        <f>IF(ABS(D4)&lt;100,"✓ OK","✗ CHECK")</f>
        <v/>
      </c>
      <c r="F4" t="inlineStr">
        <is>
          <t>Core.NCA vs Sum(Channel.NCA)</t>
        </is>
      </c>
    </row>
    <row r="5">
      <c r="A5" t="inlineStr">
        <is>
          <t>Paid Spend = Google + Meta</t>
        </is>
      </c>
      <c r="B5">
        <f>Core_Digital!D14</f>
        <v/>
      </c>
      <c r="C5">
        <f>Google_Web!C14+Meta_Web!C14</f>
        <v/>
      </c>
      <c r="D5">
        <f>B5-C5</f>
        <v/>
      </c>
      <c r="E5" s="3">
        <f>IF(ABS(D5/B5)&lt;0.05,"✓ OK","✗ CHECK")</f>
        <v/>
      </c>
      <c r="F5" t="inlineStr">
        <is>
          <t>Core.Spend vs Google+Meta</t>
        </is>
      </c>
    </row>
    <row r="6">
      <c r="A6" t="inlineStr">
        <is>
          <t>ROI Calculation Check</t>
        </is>
      </c>
      <c r="B6">
        <f>Core_Digital!T14</f>
        <v/>
      </c>
      <c r="C6">
        <f>Core_Digital!O14/Core_Digital!D14</f>
        <v/>
      </c>
      <c r="D6">
        <f>B6-C6</f>
        <v/>
      </c>
      <c r="E6" s="3">
        <f>IF(ABS(D6)&lt;1,"✓ OK","✗ CHECK")</f>
        <v/>
      </c>
      <c r="F6" t="inlineStr">
        <is>
          <t>Stored ROI vs Calculated ROI</t>
        </is>
      </c>
    </row>
    <row r="7">
      <c r="A7" t="inlineStr">
        <is>
          <t>NCA% Calculation Check</t>
        </is>
      </c>
      <c r="B7">
        <f>Core_Digital!Z14/100</f>
        <v/>
      </c>
      <c r="C7">
        <f>Core_Digital!V14/Core_Digital!N14</f>
        <v/>
      </c>
      <c r="D7">
        <f>B7-C7</f>
        <v/>
      </c>
      <c r="E7" s="3">
        <f>IF(ABS(D7)&lt;0.01,"✓ OK","✗ CHECK")</f>
        <v/>
      </c>
      <c r="F7" t="inlineStr">
        <is>
          <t>Stored NCA% vs NCA/Walkin</t>
        </is>
      </c>
    </row>
    <row r="8">
      <c r="A8" t="inlineStr">
        <is>
          <t>New Rev = NCA × New AOV</t>
        </is>
      </c>
      <c r="B8">
        <f>Core_Digital!W14</f>
        <v/>
      </c>
      <c r="C8">
        <f>Core_Digital!V14*Core_Digital!Y14</f>
        <v/>
      </c>
      <c r="D8">
        <f>B8-C8</f>
        <v/>
      </c>
      <c r="E8" s="3">
        <f>IF(ABS(D8/B8)&lt;0.1,"✓ OK","✗ CHECK")</f>
        <v/>
      </c>
      <c r="F8" t="inlineStr">
        <is>
          <t>New_Rev vs NCA×New_AOV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2" t="inlineStr">
        <is>
          <t>Channel</t>
        </is>
      </c>
      <c r="B1" s="2" t="inlineStr">
        <is>
          <t>TTM_Leads</t>
        </is>
      </c>
      <c r="C1" s="2" t="inlineStr">
        <is>
          <t>TTM_AS</t>
        </is>
      </c>
      <c r="D1" s="2" t="inlineStr">
        <is>
          <t>TTM_Walkin</t>
        </is>
      </c>
      <c r="E1" s="2" t="inlineStr">
        <is>
          <t>TTM_Revenue</t>
        </is>
      </c>
      <c r="F1" s="2" t="inlineStr">
        <is>
          <t>TTM_NCA</t>
        </is>
      </c>
      <c r="G1" s="2" t="inlineStr">
        <is>
          <t>TTM_New_Rev</t>
        </is>
      </c>
      <c r="H1" s="2" t="inlineStr">
        <is>
          <t>Lead_Share%</t>
        </is>
      </c>
      <c r="I1" s="2" t="inlineStr">
        <is>
          <t>Rev_Share%</t>
        </is>
      </c>
      <c r="J1" s="2" t="inlineStr">
        <is>
          <t>L_to_AS%</t>
        </is>
      </c>
      <c r="K1" s="2" t="inlineStr">
        <is>
          <t>AS_to_WI%</t>
        </is>
      </c>
      <c r="L1" s="2" t="inlineStr">
        <is>
          <t>NCA%</t>
        </is>
      </c>
    </row>
    <row r="2">
      <c r="A2" t="inlineStr">
        <is>
          <t>Google Paid</t>
        </is>
      </c>
      <c r="B2">
        <f>Google_Web!F14</f>
        <v/>
      </c>
      <c r="C2">
        <f>Google_Web!G14</f>
        <v/>
      </c>
      <c r="D2">
        <f>Google_Web!H14</f>
        <v/>
      </c>
      <c r="E2">
        <f>Google_Web!I14</f>
        <v/>
      </c>
      <c r="F2">
        <f>Google_Web!K14</f>
        <v/>
      </c>
      <c r="G2">
        <f>Google_Web!L14</f>
        <v/>
      </c>
      <c r="H2">
        <f>B2/SUM($B$2:$B$7)</f>
        <v/>
      </c>
      <c r="I2">
        <f>E2/SUM($E$2:$E$7)</f>
        <v/>
      </c>
      <c r="J2">
        <f>C2/B2</f>
        <v/>
      </c>
      <c r="K2">
        <f>D2/C2</f>
        <v/>
      </c>
      <c r="L2">
        <f>F2/D2</f>
        <v/>
      </c>
    </row>
    <row r="3">
      <c r="A3" t="inlineStr">
        <is>
          <t>Meta Paid</t>
        </is>
      </c>
      <c r="B3">
        <f>Meta_Web!F14</f>
        <v/>
      </c>
      <c r="C3">
        <f>Meta_Web!G14</f>
        <v/>
      </c>
      <c r="D3">
        <f>Meta_Web!H14</f>
        <v/>
      </c>
      <c r="E3">
        <f>Meta_Web!I14</f>
        <v/>
      </c>
      <c r="F3">
        <f>Meta_Web!K14</f>
        <v/>
      </c>
      <c r="G3">
        <f>Meta_Web!L14</f>
        <v/>
      </c>
      <c r="H3">
        <f>B3/SUM($B$2:$B$7)</f>
        <v/>
      </c>
      <c r="I3">
        <f>E3/SUM($E$2:$E$7)</f>
        <v/>
      </c>
      <c r="J3">
        <f>C3/B3</f>
        <v/>
      </c>
      <c r="K3">
        <f>D3/C3</f>
        <v/>
      </c>
      <c r="L3">
        <f>F3/D3</f>
        <v/>
      </c>
    </row>
    <row r="4">
      <c r="A4" t="inlineStr">
        <is>
          <t>GMB</t>
        </is>
      </c>
      <c r="B4">
        <f>GMB!E14</f>
        <v/>
      </c>
      <c r="C4">
        <f>GMB!F14</f>
        <v/>
      </c>
      <c r="D4">
        <f>GMB!G14</f>
        <v/>
      </c>
      <c r="E4">
        <f>GMB!H14</f>
        <v/>
      </c>
      <c r="F4">
        <f>GMB!J14</f>
        <v/>
      </c>
      <c r="G4">
        <f>GMB!K14</f>
        <v/>
      </c>
      <c r="H4">
        <f>B4/SUM($B$2:$B$7)</f>
        <v/>
      </c>
      <c r="I4">
        <f>E4/SUM($E$2:$E$7)</f>
        <v/>
      </c>
      <c r="J4">
        <f>C4/B4</f>
        <v/>
      </c>
      <c r="K4">
        <f>D4/C4</f>
        <v/>
      </c>
      <c r="L4">
        <f>F4/D4</f>
        <v/>
      </c>
    </row>
    <row r="5">
      <c r="A5" t="inlineStr">
        <is>
          <t>Website Organic</t>
        </is>
      </c>
      <c r="B5">
        <f>Website_Organic!C14</f>
        <v/>
      </c>
      <c r="C5">
        <f>Website_Organic!D14</f>
        <v/>
      </c>
      <c r="D5">
        <f>Website_Organic!E14</f>
        <v/>
      </c>
      <c r="E5">
        <f>Website_Organic!F14</f>
        <v/>
      </c>
      <c r="F5">
        <f>Website_Organic!H14</f>
        <v/>
      </c>
      <c r="G5">
        <f>Website_Organic!I14</f>
        <v/>
      </c>
      <c r="H5">
        <f>B5/SUM($B$2:$B$7)</f>
        <v/>
      </c>
      <c r="I5">
        <f>E5/SUM($E$2:$E$7)</f>
        <v/>
      </c>
      <c r="J5">
        <f>C5/B5</f>
        <v/>
      </c>
      <c r="K5">
        <f>D5/C5</f>
        <v/>
      </c>
      <c r="L5">
        <f>F5/D5</f>
        <v/>
      </c>
    </row>
    <row r="6">
      <c r="A6" t="inlineStr">
        <is>
          <t>Aggregator</t>
        </is>
      </c>
      <c r="B6">
        <f>Aggregator!C14</f>
        <v/>
      </c>
      <c r="C6">
        <f>Aggregator!D14</f>
        <v/>
      </c>
      <c r="D6">
        <f>Aggregator!E14</f>
        <v/>
      </c>
      <c r="E6">
        <f>Aggregator!F14</f>
        <v/>
      </c>
      <c r="F6">
        <f>Aggregator!H14</f>
        <v/>
      </c>
      <c r="G6">
        <f>Aggregator!I14</f>
        <v/>
      </c>
      <c r="H6">
        <f>B6/SUM($B$2:$B$7)</f>
        <v/>
      </c>
      <c r="I6">
        <f>E6/SUM($E$2:$E$7)</f>
        <v/>
      </c>
      <c r="J6">
        <f>C6/B6</f>
        <v/>
      </c>
      <c r="K6">
        <f>D6/C6</f>
        <v/>
      </c>
      <c r="L6">
        <f>F6/D6</f>
        <v/>
      </c>
    </row>
    <row r="7">
      <c r="A7" t="inlineStr">
        <is>
          <t>App Organic</t>
        </is>
      </c>
      <c r="B7">
        <f>App_Organic!C14</f>
        <v/>
      </c>
      <c r="C7">
        <f>App_Organic!D14</f>
        <v/>
      </c>
      <c r="D7">
        <f>App_Organic!E14</f>
        <v/>
      </c>
      <c r="E7">
        <f>App_Organic!F14</f>
        <v/>
      </c>
      <c r="F7">
        <f>App_Organic!H14</f>
        <v/>
      </c>
      <c r="G7">
        <f>App_Organic!I14</f>
        <v/>
      </c>
      <c r="H7">
        <f>B7/SUM($B$2:$B$7)</f>
        <v/>
      </c>
      <c r="I7">
        <f>E7/SUM($E$2:$E$7)</f>
        <v/>
      </c>
      <c r="J7">
        <f>C7/B7</f>
        <v/>
      </c>
      <c r="K7">
        <f>D7/C7</f>
        <v/>
      </c>
      <c r="L7">
        <f>F7/D7</f>
        <v/>
      </c>
    </row>
    <row r="8">
      <c r="A8" s="9" t="inlineStr">
        <is>
          <t>TOTAL</t>
        </is>
      </c>
      <c r="B8" s="9">
        <f>SUM(B2:B7)</f>
        <v/>
      </c>
      <c r="C8" s="9">
        <f>SUM(C2:C7)</f>
        <v/>
      </c>
      <c r="D8" s="9">
        <f>SUM(D2:D7)</f>
        <v/>
      </c>
      <c r="E8" s="9">
        <f>SUM(E2:E7)</f>
        <v/>
      </c>
      <c r="F8" s="9">
        <f>SUM(F2:F7)</f>
        <v/>
      </c>
      <c r="G8" s="9">
        <f>SUM(G2:G7)</f>
        <v/>
      </c>
      <c r="H8" s="9">
        <f>SUM(H2:H7)</f>
        <v/>
      </c>
      <c r="I8" s="9">
        <f>SUM(I2:I7)</f>
        <v/>
      </c>
      <c r="J8" s="9">
        <f>C8/B8</f>
        <v/>
      </c>
      <c r="K8" s="9">
        <f>D8/C8</f>
        <v/>
      </c>
      <c r="L8" s="9">
        <f>F8/D8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2026-01-07T19:51:01Z</dcterms:created>
  <dcterms:modified xsi:type="dcterms:W3CDTF">2026-01-07T19:51:01Z</dcterms:modified>
</cp:coreProperties>
</file>