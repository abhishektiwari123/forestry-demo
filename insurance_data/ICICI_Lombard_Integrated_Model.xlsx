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Assumptions" sheetId="1" state="visible" r:id="rId1"/>
    <sheet name="B_Waterfall" sheetId="2" state="visible" r:id="rId2"/>
    <sheet name="C_CBDT_Data" sheetId="3" state="visible" r:id="rId3"/>
    <sheet name="D_Competitors" sheetId="4" state="visible" r:id="rId4"/>
    <sheet name="E_LTV_Detail" sheetId="5" state="visible" r:id="rId5"/>
    <sheet name="F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9"/>
    </font>
    <font>
      <b val="1"/>
      <color rgb="00FFFFFF"/>
      <sz val="16"/>
    </font>
    <font>
      <i val="1"/>
      <sz val="10"/>
    </font>
    <font>
      <b val="1"/>
      <color rgb="001F4E79"/>
      <sz val="12"/>
    </font>
    <font>
      <b val="1"/>
      <sz val="12"/>
    </font>
    <font>
      <b val="1"/>
    </font>
    <font>
      <i val="1"/>
      <color rgb="000563C1"/>
    </font>
    <font>
      <i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8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20" customWidth="1" min="5" max="5"/>
    <col width="25" customWidth="1" min="6" max="6"/>
  </cols>
  <sheetData>
    <row r="1">
      <c r="A1" s="1" t="inlineStr">
        <is>
          <t>ICICI LOMBARD D2C MODEL - MASTER ASSUMPTIONS</t>
        </is>
      </c>
    </row>
    <row r="3">
      <c r="A3" s="2" t="inlineStr">
        <is>
          <t>ID</t>
        </is>
      </c>
      <c r="B3" s="2" t="inlineStr">
        <is>
          <t>Parameter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Source</t>
        </is>
      </c>
      <c r="F3" s="2" t="inlineStr">
        <is>
          <t>Citation</t>
        </is>
      </c>
    </row>
    <row r="4">
      <c r="A4" s="3" t="inlineStr">
        <is>
          <t>MARKET SIZE</t>
        </is>
      </c>
    </row>
    <row r="5">
      <c r="A5" t="inlineStr">
        <is>
          <t>M1</t>
        </is>
      </c>
      <c r="B5" t="inlineStr">
        <is>
          <t>Total Health Insurance GWP FY24</t>
        </is>
      </c>
      <c r="C5" t="n">
        <v>117000</v>
      </c>
      <c r="D5" t="inlineStr">
        <is>
          <t>₹ Crore</t>
        </is>
      </c>
      <c r="E5" t="inlineStr">
        <is>
          <t>IRDAI AR 2023-24</t>
        </is>
      </c>
      <c r="F5" t="inlineStr">
        <is>
          <t>Page 45, Table 3.1</t>
        </is>
      </c>
    </row>
    <row r="6">
      <c r="A6" t="inlineStr">
        <is>
          <t>M2</t>
        </is>
      </c>
      <c r="B6" t="inlineStr">
        <is>
          <t>Retail Health % of Total</t>
        </is>
      </c>
      <c r="C6" t="n">
        <v>0.387</v>
      </c>
      <c r="D6" t="inlineStr">
        <is>
          <t>%</t>
        </is>
      </c>
      <c r="E6" t="inlineStr">
        <is>
          <t>Niva Bupa DRHP</t>
        </is>
      </c>
      <c r="F6" t="inlineStr">
        <is>
          <t>Page 15, Industry Report</t>
        </is>
      </c>
    </row>
    <row r="7">
      <c r="A7" t="inlineStr">
        <is>
          <t>M3</t>
        </is>
      </c>
      <c r="B7" t="inlineStr">
        <is>
          <t>Group Health % of Total</t>
        </is>
      </c>
      <c r="C7" t="n">
        <v>0.505</v>
      </c>
      <c r="D7" t="inlineStr">
        <is>
          <t>%</t>
        </is>
      </c>
      <c r="E7" t="inlineStr">
        <is>
          <t>Niva Bupa DRHP</t>
        </is>
      </c>
      <c r="F7" t="inlineStr">
        <is>
          <t>Page 15, Industry Report</t>
        </is>
      </c>
    </row>
    <row r="8">
      <c r="A8" t="inlineStr">
        <is>
          <t>M4</t>
        </is>
      </c>
      <c r="B8" t="inlineStr">
        <is>
          <t>Govt Schemes % of Total</t>
        </is>
      </c>
      <c r="C8" t="n">
        <v>0.097</v>
      </c>
      <c r="D8" t="inlineStr">
        <is>
          <t>%</t>
        </is>
      </c>
      <c r="E8" t="inlineStr">
        <is>
          <t>Niva Bupa DRHP</t>
        </is>
      </c>
      <c r="F8" t="inlineStr">
        <is>
          <t>Page 15, Industry Report</t>
        </is>
      </c>
    </row>
    <row r="9">
      <c r="A9" t="inlineStr">
        <is>
          <t>M5</t>
        </is>
      </c>
      <c r="B9" t="inlineStr">
        <is>
          <t>Overseas Medical % of Total</t>
        </is>
      </c>
      <c r="C9" t="n">
        <v>0.011</v>
      </c>
      <c r="D9" t="inlineStr">
        <is>
          <t>%</t>
        </is>
      </c>
      <c r="E9" t="inlineStr">
        <is>
          <t>Niva Bupa DRHP</t>
        </is>
      </c>
      <c r="F9" t="inlineStr">
        <is>
          <t>Page 15, Industry Report</t>
        </is>
      </c>
    </row>
    <row r="10">
      <c r="A10" t="inlineStr">
        <is>
          <t>M6</t>
        </is>
      </c>
      <c r="B10" t="inlineStr">
        <is>
          <t>Urban Digital Addressable %</t>
        </is>
      </c>
      <c r="C10" t="n">
        <v>0.6</v>
      </c>
      <c r="D10" t="inlineStr">
        <is>
          <t>%</t>
        </is>
      </c>
      <c r="E10" t="inlineStr">
        <is>
          <t>Industry Estimate</t>
        </is>
      </c>
      <c r="F10" t="inlineStr">
        <is>
          <t>Redseer Analysis</t>
        </is>
      </c>
    </row>
    <row r="11">
      <c r="A11" t="inlineStr">
        <is>
          <t>M7</t>
        </is>
      </c>
      <c r="B11" t="inlineStr">
        <is>
          <t>Target Income Segment %</t>
        </is>
      </c>
      <c r="C11" t="n">
        <v>0.35</v>
      </c>
      <c r="D11" t="inlineStr">
        <is>
          <t>%</t>
        </is>
      </c>
      <c r="E11" t="inlineStr">
        <is>
          <t>CBDT Calculation</t>
        </is>
      </c>
      <c r="F11" t="inlineStr">
        <is>
          <t>Income &gt;5L / Total</t>
        </is>
      </c>
    </row>
    <row r="12">
      <c r="A12" t="inlineStr">
        <is>
          <t>M8</t>
        </is>
      </c>
      <c r="B12" t="inlineStr">
        <is>
          <t>5Y Capture Rate %</t>
        </is>
      </c>
      <c r="C12" t="n">
        <v>0.15</v>
      </c>
      <c r="D12" t="inlineStr">
        <is>
          <t>%</t>
        </is>
      </c>
      <c r="E12" t="inlineStr">
        <is>
          <t>Model Assumption</t>
        </is>
      </c>
      <c r="F12" t="inlineStr">
        <is>
          <t>Conservative</t>
        </is>
      </c>
    </row>
    <row r="13">
      <c r="A13" t="inlineStr">
        <is>
          <t>M9</t>
        </is>
      </c>
      <c r="B13" t="inlineStr">
        <is>
          <t>Health Insurance Growth CAGR</t>
        </is>
      </c>
      <c r="C13" t="n">
        <v>0.195</v>
      </c>
      <c r="D13" t="inlineStr">
        <is>
          <t>%</t>
        </is>
      </c>
      <c r="E13" t="inlineStr">
        <is>
          <t>GI Council YB</t>
        </is>
      </c>
      <c r="F13" t="inlineStr">
        <is>
          <t>10-Year CAGR</t>
        </is>
      </c>
    </row>
    <row r="14">
      <c r="A14" t="inlineStr">
        <is>
          <t>M10</t>
        </is>
      </c>
      <c r="B14" t="inlineStr">
        <is>
          <t>Retail Health Growth FY24</t>
        </is>
      </c>
      <c r="C14" t="n">
        <v>0.191</v>
      </c>
      <c r="D14" t="inlineStr">
        <is>
          <t>%</t>
        </is>
      </c>
      <c r="E14" t="inlineStr">
        <is>
          <t>Niva Bupa DRHP</t>
        </is>
      </c>
      <c r="F14" t="inlineStr">
        <is>
          <t>Page 18</t>
        </is>
      </c>
    </row>
    <row r="16">
      <c r="A16" s="3" t="inlineStr">
        <is>
          <t>CUSTOMER METRICS</t>
        </is>
      </c>
    </row>
    <row r="17">
      <c r="A17" t="inlineStr">
        <is>
          <t>C1</t>
        </is>
      </c>
      <c r="B17" t="inlineStr">
        <is>
          <t>Avg Annual Premium (Retail)</t>
        </is>
      </c>
      <c r="C17" t="n">
        <v>15000</v>
      </c>
      <c r="D17" t="inlineStr">
        <is>
          <t>₹</t>
        </is>
      </c>
      <c r="E17" t="inlineStr">
        <is>
          <t>IRDAI/Industry</t>
        </is>
      </c>
      <c r="F17" t="inlineStr">
        <is>
          <t>Weighted avg</t>
        </is>
      </c>
    </row>
    <row r="18">
      <c r="A18" t="inlineStr">
        <is>
          <t>C2</t>
        </is>
      </c>
      <c r="B18" t="inlineStr">
        <is>
          <t>Premium Growth Rate (Annual)</t>
        </is>
      </c>
      <c r="C18" t="n">
        <v>0.08</v>
      </c>
      <c r="D18" t="inlineStr">
        <is>
          <t>%</t>
        </is>
      </c>
      <c r="E18" t="inlineStr">
        <is>
          <t>Medical Inflation</t>
        </is>
      </c>
      <c r="F18" t="inlineStr">
        <is>
          <t>CPI Health</t>
        </is>
      </c>
    </row>
    <row r="19">
      <c r="A19" t="inlineStr">
        <is>
          <t>C3</t>
        </is>
      </c>
      <c r="B19" t="inlineStr">
        <is>
          <t>Retention Rate Year 1</t>
        </is>
      </c>
      <c r="C19" t="n">
        <v>0.8</v>
      </c>
      <c r="D19" t="inlineStr">
        <is>
          <t>%</t>
        </is>
      </c>
      <c r="E19" t="inlineStr">
        <is>
          <t>Industry Benchmark</t>
        </is>
      </c>
      <c r="F19" t="inlineStr">
        <is>
          <t>New cohort</t>
        </is>
      </c>
    </row>
    <row r="20">
      <c r="A20" t="inlineStr">
        <is>
          <t>C4</t>
        </is>
      </c>
      <c r="B20" t="inlineStr">
        <is>
          <t>Retention Rate Year 2+</t>
        </is>
      </c>
      <c r="C20" t="n">
        <v>0.85</v>
      </c>
      <c r="D20" t="inlineStr">
        <is>
          <t>%</t>
        </is>
      </c>
      <c r="E20" t="inlineStr">
        <is>
          <t>Industry Benchmark</t>
        </is>
      </c>
      <c r="F20" t="inlineStr">
        <is>
          <t>Mature cohort</t>
        </is>
      </c>
    </row>
    <row r="21">
      <c r="A21" t="inlineStr">
        <is>
          <t>C5</t>
        </is>
      </c>
      <c r="B21" t="inlineStr">
        <is>
          <t>Avg Policy Duration</t>
        </is>
      </c>
      <c r="C21" t="n">
        <v>5</v>
      </c>
      <c r="D21" t="inlineStr">
        <is>
          <t>Years</t>
        </is>
      </c>
      <c r="E21" t="inlineStr">
        <is>
          <t>Retention Based</t>
        </is>
      </c>
      <c r="F21" t="inlineStr">
        <is>
          <t>Calculated</t>
        </is>
      </c>
    </row>
    <row r="22">
      <c r="A22" t="inlineStr">
        <is>
          <t>C6</t>
        </is>
      </c>
      <c r="B22" t="inlineStr">
        <is>
          <t>Year 1 New Customers</t>
        </is>
      </c>
      <c r="C22" t="n">
        <v>50000</v>
      </c>
      <c r="D22" t="inlineStr">
        <is>
          <t>Number</t>
        </is>
      </c>
      <c r="E22" t="inlineStr">
        <is>
          <t>Model Target</t>
        </is>
      </c>
      <c r="F22" t="inlineStr">
        <is>
          <t>Launch year</t>
        </is>
      </c>
    </row>
    <row r="23">
      <c r="A23" t="inlineStr">
        <is>
          <t>C7</t>
        </is>
      </c>
      <c r="B23" t="inlineStr">
        <is>
          <t>Customer Growth Y1-Y2</t>
        </is>
      </c>
      <c r="C23" t="n">
        <v>0.4</v>
      </c>
      <c r="D23" t="inlineStr">
        <is>
          <t>%</t>
        </is>
      </c>
      <c r="E23" t="inlineStr">
        <is>
          <t>Model Target</t>
        </is>
      </c>
      <c r="F23" t="inlineStr">
        <is>
          <t>Aggressive</t>
        </is>
      </c>
    </row>
    <row r="24">
      <c r="A24" t="inlineStr">
        <is>
          <t>C8</t>
        </is>
      </c>
      <c r="B24" t="inlineStr">
        <is>
          <t>Customer Growth Y2-Y3</t>
        </is>
      </c>
      <c r="C24" t="n">
        <v>0.35</v>
      </c>
      <c r="D24" t="inlineStr">
        <is>
          <t>%</t>
        </is>
      </c>
      <c r="E24" t="inlineStr">
        <is>
          <t>Model Target</t>
        </is>
      </c>
      <c r="F24" t="inlineStr">
        <is>
          <t>Scaling</t>
        </is>
      </c>
    </row>
    <row r="25">
      <c r="A25" t="inlineStr">
        <is>
          <t>C9</t>
        </is>
      </c>
      <c r="B25" t="inlineStr">
        <is>
          <t>Customer Growth Y3-Y4</t>
        </is>
      </c>
      <c r="C25" t="n">
        <v>0.3</v>
      </c>
      <c r="D25" t="inlineStr">
        <is>
          <t>%</t>
        </is>
      </c>
      <c r="E25" t="inlineStr">
        <is>
          <t>Model Target</t>
        </is>
      </c>
      <c r="F25" t="inlineStr">
        <is>
          <t>Maturing</t>
        </is>
      </c>
    </row>
    <row r="26">
      <c r="A26" t="inlineStr">
        <is>
          <t>C10</t>
        </is>
      </c>
      <c r="B26" t="inlineStr">
        <is>
          <t>Customer Growth Y4-Y5</t>
        </is>
      </c>
      <c r="C26" t="n">
        <v>0.25</v>
      </c>
      <c r="D26" t="inlineStr">
        <is>
          <t>%</t>
        </is>
      </c>
      <c r="E26" t="inlineStr">
        <is>
          <t>Model Target</t>
        </is>
      </c>
      <c r="F26" t="inlineStr">
        <is>
          <t>Steady</t>
        </is>
      </c>
    </row>
    <row r="28">
      <c r="A28" s="3" t="inlineStr">
        <is>
          <t>FINANCIAL METRICS</t>
        </is>
      </c>
    </row>
    <row r="29">
      <c r="A29" t="inlineStr">
        <is>
          <t>F1</t>
        </is>
      </c>
      <c r="B29" t="inlineStr">
        <is>
          <t>Claims Ratio Target</t>
        </is>
      </c>
      <c r="C29" t="n">
        <v>0.65</v>
      </c>
      <c r="D29" t="inlineStr">
        <is>
          <t>%</t>
        </is>
      </c>
      <c r="E29" t="inlineStr">
        <is>
          <t>SAHI Benchmark</t>
        </is>
      </c>
      <c r="F29" t="inlineStr">
        <is>
          <t>Star Health 66.5%</t>
        </is>
      </c>
    </row>
    <row r="30">
      <c r="A30" t="inlineStr">
        <is>
          <t>F2</t>
        </is>
      </c>
      <c r="B30" t="inlineStr">
        <is>
          <t>Expense Ratio Target</t>
        </is>
      </c>
      <c r="C30" t="n">
        <v>0.25</v>
      </c>
      <c r="D30" t="inlineStr">
        <is>
          <t>%</t>
        </is>
      </c>
      <c r="E30" t="inlineStr">
        <is>
          <t>Digital Efficiency</t>
        </is>
      </c>
      <c r="F30" t="inlineStr">
        <is>
          <t>vs 30% traditional</t>
        </is>
      </c>
    </row>
    <row r="31">
      <c r="A31" t="inlineStr">
        <is>
          <t>F3</t>
        </is>
      </c>
      <c r="B31" t="inlineStr">
        <is>
          <t>Gross Margin</t>
        </is>
      </c>
      <c r="C31">
        <f>1-C29-C30</f>
        <v/>
      </c>
      <c r="D31" t="inlineStr">
        <is>
          <t>%</t>
        </is>
      </c>
      <c r="E31" t="inlineStr">
        <is>
          <t>Calculated</t>
        </is>
      </c>
      <c r="F31" t="inlineStr">
        <is>
          <t>1 - Claims - Expense</t>
        </is>
      </c>
    </row>
    <row r="32">
      <c r="A32" t="inlineStr">
        <is>
          <t>F4</t>
        </is>
      </c>
      <c r="B32" t="inlineStr">
        <is>
          <t>Discount Rate (WACC)</t>
        </is>
      </c>
      <c r="C32" t="n">
        <v>0.12</v>
      </c>
      <c r="D32" t="inlineStr">
        <is>
          <t>%</t>
        </is>
      </c>
      <c r="E32" t="inlineStr">
        <is>
          <t>Industry WACC</t>
        </is>
      </c>
      <c r="F32" t="inlineStr">
        <is>
          <t>Insurance sector</t>
        </is>
      </c>
    </row>
    <row r="33">
      <c r="A33" t="inlineStr">
        <is>
          <t>F5</t>
        </is>
      </c>
      <c r="B33" t="inlineStr">
        <is>
          <t>CAC D2C Organic</t>
        </is>
      </c>
      <c r="C33" t="n">
        <v>1500</v>
      </c>
      <c r="D33" t="inlineStr">
        <is>
          <t>₹</t>
        </is>
      </c>
      <c r="E33" t="inlineStr">
        <is>
          <t>Industry Est</t>
        </is>
      </c>
      <c r="F33" t="inlineStr">
        <is>
          <t>SEO/Content</t>
        </is>
      </c>
    </row>
    <row r="34">
      <c r="A34" t="inlineStr">
        <is>
          <t>F6</t>
        </is>
      </c>
      <c r="B34" t="inlineStr">
        <is>
          <t>CAC D2C Paid</t>
        </is>
      </c>
      <c r="C34" t="n">
        <v>3000</v>
      </c>
      <c r="D34" t="inlineStr">
        <is>
          <t>₹</t>
        </is>
      </c>
      <c r="E34" t="inlineStr">
        <is>
          <t>Industry Est</t>
        </is>
      </c>
      <c r="F34" t="inlineStr">
        <is>
          <t>Performance mktg</t>
        </is>
      </c>
    </row>
    <row r="35">
      <c r="A35" t="inlineStr">
        <is>
          <t>F7</t>
        </is>
      </c>
      <c r="B35" t="inlineStr">
        <is>
          <t>CAC Aggregators</t>
        </is>
      </c>
      <c r="C35" t="n">
        <v>4500</v>
      </c>
      <c r="D35" t="inlineStr">
        <is>
          <t>₹</t>
        </is>
      </c>
      <c r="E35" t="inlineStr">
        <is>
          <t>PolicyBazaar</t>
        </is>
      </c>
      <c r="F35" t="inlineStr">
        <is>
          <t>Commission based</t>
        </is>
      </c>
    </row>
    <row r="36">
      <c r="A36" t="inlineStr">
        <is>
          <t>F8</t>
        </is>
      </c>
      <c r="B36" t="inlineStr">
        <is>
          <t>CAC Agents/Brokers</t>
        </is>
      </c>
      <c r="C36" t="n">
        <v>6000</v>
      </c>
      <c r="D36" t="inlineStr">
        <is>
          <t>₹</t>
        </is>
      </c>
      <c r="E36" t="inlineStr">
        <is>
          <t>Commission</t>
        </is>
      </c>
      <c r="F36" t="inlineStr">
        <is>
          <t>15-20% of premium</t>
        </is>
      </c>
    </row>
    <row r="37">
      <c r="A37" t="inlineStr">
        <is>
          <t>F9</t>
        </is>
      </c>
      <c r="B37" t="inlineStr">
        <is>
          <t>CAC Bancassurance</t>
        </is>
      </c>
      <c r="C37" t="n">
        <v>2500</v>
      </c>
      <c r="D37" t="inlineStr">
        <is>
          <t>₹</t>
        </is>
      </c>
      <c r="E37" t="inlineStr">
        <is>
          <t>Bank Partnership</t>
        </is>
      </c>
      <c r="F37" t="inlineStr">
        <is>
          <t>Lower commission</t>
        </is>
      </c>
    </row>
    <row r="38">
      <c r="A38" t="inlineStr">
        <is>
          <t>F10</t>
        </is>
      </c>
      <c r="B38" t="inlineStr">
        <is>
          <t>CAC Reduction Rate YoY</t>
        </is>
      </c>
      <c r="C38" t="n">
        <v>0.08</v>
      </c>
      <c r="D38" t="inlineStr">
        <is>
          <t>%</t>
        </is>
      </c>
      <c r="E38" t="inlineStr">
        <is>
          <t>Efficiency Gains</t>
        </is>
      </c>
      <c r="F38" t="inlineStr">
        <is>
          <t>Scale benefits</t>
        </is>
      </c>
    </row>
    <row r="40">
      <c r="A40" s="3" t="inlineStr">
        <is>
          <t>CHANNEL MIX</t>
        </is>
      </c>
    </row>
    <row r="41">
      <c r="A41" t="inlineStr">
        <is>
          <t>CH1</t>
        </is>
      </c>
      <c r="B41" t="inlineStr">
        <is>
          <t>D2C Organic %</t>
        </is>
      </c>
      <c r="C41" t="n">
        <v>0.15</v>
      </c>
      <c r="D41" t="inlineStr">
        <is>
          <t>%</t>
        </is>
      </c>
      <c r="E41" t="inlineStr">
        <is>
          <t>Target</t>
        </is>
      </c>
      <c r="F41" t="inlineStr">
        <is>
          <t>App organic</t>
        </is>
      </c>
    </row>
    <row r="42">
      <c r="A42" t="inlineStr">
        <is>
          <t>CH2</t>
        </is>
      </c>
      <c r="B42" t="inlineStr">
        <is>
          <t>D2C Paid %</t>
        </is>
      </c>
      <c r="C42" t="n">
        <v>0.25</v>
      </c>
      <c r="D42" t="inlineStr">
        <is>
          <t>%</t>
        </is>
      </c>
      <c r="E42" t="inlineStr">
        <is>
          <t>Target</t>
        </is>
      </c>
      <c r="F42" t="inlineStr">
        <is>
          <t>Performance</t>
        </is>
      </c>
    </row>
    <row r="43">
      <c r="A43" t="inlineStr">
        <is>
          <t>CH3</t>
        </is>
      </c>
      <c r="B43" t="inlineStr">
        <is>
          <t>Aggregators %</t>
        </is>
      </c>
      <c r="C43" t="n">
        <v>0.2</v>
      </c>
      <c r="D43" t="inlineStr">
        <is>
          <t>%</t>
        </is>
      </c>
      <c r="E43" t="inlineStr">
        <is>
          <t>Target</t>
        </is>
      </c>
      <c r="F43" t="inlineStr">
        <is>
          <t>PolicyBazaar etc</t>
        </is>
      </c>
    </row>
    <row r="44">
      <c r="A44" t="inlineStr">
        <is>
          <t>CH4</t>
        </is>
      </c>
      <c r="B44" t="inlineStr">
        <is>
          <t>Agents/Brokers %</t>
        </is>
      </c>
      <c r="C44" t="n">
        <v>0.3</v>
      </c>
      <c r="D44" t="inlineStr">
        <is>
          <t>%</t>
        </is>
      </c>
      <c r="E44" t="inlineStr">
        <is>
          <t>Target</t>
        </is>
      </c>
      <c r="F44" t="inlineStr">
        <is>
          <t>Traditional</t>
        </is>
      </c>
    </row>
    <row r="45">
      <c r="A45" t="inlineStr">
        <is>
          <t>CH5</t>
        </is>
      </c>
      <c r="B45" t="inlineStr">
        <is>
          <t>Bancassurance %</t>
        </is>
      </c>
      <c r="C45" t="n">
        <v>0.1</v>
      </c>
      <c r="D45" t="inlineStr">
        <is>
          <t>%</t>
        </is>
      </c>
      <c r="E45" t="inlineStr">
        <is>
          <t>Target</t>
        </is>
      </c>
      <c r="F45" t="inlineStr">
        <is>
          <t>ICICI Bank</t>
        </is>
      </c>
    </row>
    <row r="48">
      <c r="A48" s="3" t="inlineStr">
        <is>
          <t>COMPETITOR BENCHMARKS</t>
        </is>
      </c>
    </row>
    <row r="49">
      <c r="A49" t="inlineStr">
        <is>
          <t>COMP1</t>
        </is>
      </c>
      <c r="B49" t="inlineStr">
        <is>
          <t>ICICI Lombard Retail Health Share</t>
        </is>
      </c>
      <c r="C49" t="n">
        <v>0.029</v>
      </c>
      <c r="D49" t="inlineStr">
        <is>
          <t>%</t>
        </is>
      </c>
      <c r="E49" t="inlineStr">
        <is>
          <t>Business Standard</t>
        </is>
      </c>
      <c r="F49" t="inlineStr">
        <is>
          <t>Q1 FY25</t>
        </is>
      </c>
    </row>
    <row r="50">
      <c r="A50" t="inlineStr">
        <is>
          <t>COMP2</t>
        </is>
      </c>
      <c r="B50" t="inlineStr">
        <is>
          <t>Star Health Retail Share</t>
        </is>
      </c>
      <c r="C50" t="n">
        <v>0.33</v>
      </c>
      <c r="D50" t="inlineStr">
        <is>
          <t>%</t>
        </is>
      </c>
      <c r="E50" t="inlineStr">
        <is>
          <t>Star Health AR</t>
        </is>
      </c>
      <c r="F50" t="inlineStr">
        <is>
          <t>FY24</t>
        </is>
      </c>
    </row>
    <row r="51">
      <c r="A51" t="inlineStr">
        <is>
          <t>COMP3</t>
        </is>
      </c>
      <c r="B51" t="inlineStr">
        <is>
          <t>Niva Bupa Retail Share</t>
        </is>
      </c>
      <c r="C51" t="n">
        <v>0.162</v>
      </c>
      <c r="D51" t="inlineStr">
        <is>
          <t>%</t>
        </is>
      </c>
      <c r="E51" t="inlineStr">
        <is>
          <t>Niva Bupa DRHP</t>
        </is>
      </c>
      <c r="F51" t="inlineStr">
        <is>
          <t>Page 12</t>
        </is>
      </c>
    </row>
    <row r="52">
      <c r="A52" t="inlineStr">
        <is>
          <t>COMP4</t>
        </is>
      </c>
      <c r="B52" t="inlineStr">
        <is>
          <t>SAHI Claims Ratio</t>
        </is>
      </c>
      <c r="C52" t="n">
        <v>0.6363</v>
      </c>
      <c r="D52" t="inlineStr">
        <is>
          <t>%</t>
        </is>
      </c>
      <c r="E52" t="inlineStr">
        <is>
          <t>IRDAI AR</t>
        </is>
      </c>
      <c r="F52" t="inlineStr">
        <is>
          <t>Page 52</t>
        </is>
      </c>
    </row>
    <row r="53">
      <c r="A53" t="inlineStr">
        <is>
          <t>COMP5</t>
        </is>
      </c>
      <c r="B53" t="inlineStr">
        <is>
          <t>Private GI Claims Ratio</t>
        </is>
      </c>
      <c r="C53" t="n">
        <v>0.7649</v>
      </c>
      <c r="D53" t="inlineStr">
        <is>
          <t>%</t>
        </is>
      </c>
      <c r="E53" t="inlineStr">
        <is>
          <t>IRDAI AR</t>
        </is>
      </c>
      <c r="F53" t="inlineStr">
        <is>
          <t>Page 52</t>
        </is>
      </c>
    </row>
    <row r="54">
      <c r="A54" t="inlineStr">
        <is>
          <t>COMP6</t>
        </is>
      </c>
      <c r="B54" t="inlineStr">
        <is>
          <t>Star Health Agents (000s)</t>
        </is>
      </c>
      <c r="C54" t="n">
        <v>701</v>
      </c>
      <c r="D54" t="inlineStr">
        <is>
          <t>Number</t>
        </is>
      </c>
      <c r="E54" t="inlineStr">
        <is>
          <t>Star Health AR</t>
        </is>
      </c>
      <c r="F54" t="inlineStr">
        <is>
          <t>Distribution</t>
        </is>
      </c>
    </row>
    <row r="55">
      <c r="A55" t="inlineStr">
        <is>
          <t>COMP7</t>
        </is>
      </c>
      <c r="B55" t="inlineStr">
        <is>
          <t>Niva Bupa Agents (000s)</t>
        </is>
      </c>
      <c r="C55" t="n">
        <v>180</v>
      </c>
      <c r="D55" t="inlineStr">
        <is>
          <t>Number</t>
        </is>
      </c>
      <c r="E55" t="inlineStr">
        <is>
          <t>Niva Bupa AR</t>
        </is>
      </c>
      <c r="F55" t="inlineStr">
        <is>
          <t>Distribution</t>
        </is>
      </c>
    </row>
  </sheetData>
  <mergeCells count="6">
    <mergeCell ref="A16:F16"/>
    <mergeCell ref="A28:F28"/>
    <mergeCell ref="A1:F1"/>
    <mergeCell ref="A40:F40"/>
    <mergeCell ref="A4:F4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0" customWidth="1" min="10" max="10"/>
  </cols>
  <sheetData>
    <row r="1">
      <c r="A1" s="4" t="inlineStr">
        <is>
          <t>ICICI LOMBARD D2C HEALTH INSURANCE - OPPORTUNITY WATERFALL</t>
        </is>
      </c>
    </row>
    <row r="2">
      <c r="A2" s="5" t="inlineStr">
        <is>
          <t>All values linked to Assumptions sheet | TAM → SAM → SOM Analysis</t>
        </is>
      </c>
    </row>
    <row r="4">
      <c r="A4" s="6" t="inlineStr">
        <is>
          <t>TAM → SAM → SOM WATERFALL</t>
        </is>
      </c>
      <c r="H4" s="6" t="inlineStr">
        <is>
          <t>DATA SOURCES</t>
        </is>
      </c>
    </row>
    <row r="5">
      <c r="A5" s="2" t="inlineStr">
        <is>
          <t>Step</t>
        </is>
      </c>
      <c r="B5" s="2" t="inlineStr">
        <is>
          <t>Description</t>
        </is>
      </c>
      <c r="C5" s="2" t="inlineStr">
        <is>
          <t>Value (₹ Cr)</t>
        </is>
      </c>
      <c r="D5" s="2" t="inlineStr">
        <is>
          <t>Formula</t>
        </is>
      </c>
      <c r="E5" s="2" t="inlineStr">
        <is>
          <t>% of TAM</t>
        </is>
      </c>
      <c r="H5" s="2" t="inlineStr">
        <is>
          <t>Source</t>
        </is>
      </c>
      <c r="I5" s="2" t="inlineStr">
        <is>
          <t>Publisher</t>
        </is>
      </c>
      <c r="J5" s="2" t="inlineStr">
        <is>
          <t>Date</t>
        </is>
      </c>
    </row>
    <row r="6">
      <c r="A6" t="n">
        <v>1</v>
      </c>
      <c r="B6" t="inlineStr">
        <is>
          <t>TAM: Total Health Insurance Market</t>
        </is>
      </c>
      <c r="C6">
        <f>A_Assumptions!C5</f>
        <v/>
      </c>
      <c r="D6">
        <f>A_Assumptions!C5</f>
        <v/>
      </c>
      <c r="E6" t="inlineStr">
        <is>
          <t>100%</t>
        </is>
      </c>
      <c r="H6" t="inlineStr">
        <is>
          <t>CBDT ITR AY23-24</t>
        </is>
      </c>
      <c r="I6" t="inlineStr">
        <is>
          <t>Income Tax Dept</t>
        </is>
      </c>
      <c r="J6" t="inlineStr">
        <is>
          <t>Jun 2024</t>
        </is>
      </c>
    </row>
    <row r="7">
      <c r="A7" t="n">
        <v>2</v>
      </c>
      <c r="B7" t="inlineStr">
        <is>
          <t>Filter: Retail Health Only (38.7%)</t>
        </is>
      </c>
      <c r="C7">
        <f>C6*A_Assumptions!C6</f>
        <v/>
      </c>
      <c r="D7">
        <f>TAM × Retail%</f>
        <v/>
      </c>
      <c r="E7">
        <f>C7/C6</f>
        <v/>
      </c>
      <c r="H7" t="inlineStr">
        <is>
          <t>IRDAI AR 2023-24</t>
        </is>
      </c>
      <c r="I7" t="inlineStr">
        <is>
          <t>IRDAI</t>
        </is>
      </c>
      <c r="J7" t="inlineStr">
        <is>
          <t>Dec 2024</t>
        </is>
      </c>
    </row>
    <row r="8">
      <c r="A8" t="n">
        <v>3</v>
      </c>
      <c r="B8" t="inlineStr">
        <is>
          <t>Filter: Urban Digital Addressable (60%)</t>
        </is>
      </c>
      <c r="C8">
        <f>C7*A_Assumptions!C10</f>
        <v/>
      </c>
      <c r="D8">
        <f>Retail × Urban%</f>
        <v/>
      </c>
      <c r="E8">
        <f>C8/C6</f>
        <v/>
      </c>
      <c r="H8" t="inlineStr">
        <is>
          <t>GI Council YB 23-24</t>
        </is>
      </c>
      <c r="I8" t="inlineStr">
        <is>
          <t>GI Council</t>
        </is>
      </c>
      <c r="J8" t="inlineStr">
        <is>
          <t>Feb 2025</t>
        </is>
      </c>
    </row>
    <row r="9">
      <c r="A9" t="n">
        <v>4</v>
      </c>
      <c r="B9" t="inlineStr">
        <is>
          <t>Filter: Target Income &gt;5L (35%)</t>
        </is>
      </c>
      <c r="C9">
        <f>C8*A_Assumptions!C11</f>
        <v/>
      </c>
      <c r="D9">
        <f>Urban × Income%</f>
        <v/>
      </c>
      <c r="E9">
        <f>C9/C6</f>
        <v/>
      </c>
      <c r="H9" t="inlineStr">
        <is>
          <t>Niva Bupa DRHP</t>
        </is>
      </c>
      <c r="I9" t="inlineStr">
        <is>
          <t>Niva Bupa</t>
        </is>
      </c>
      <c r="J9" t="inlineStr">
        <is>
          <t>Jun 2024</t>
        </is>
      </c>
    </row>
    <row r="10">
      <c r="A10" t="n">
        <v>5</v>
      </c>
      <c r="B10" t="inlineStr">
        <is>
          <t>SOM: 5-Year Realistic Capture (15%)</t>
        </is>
      </c>
      <c r="C10">
        <f>C9*A_Assumptions!C12</f>
        <v/>
      </c>
      <c r="D10">
        <f>Target × Capture%</f>
        <v/>
      </c>
      <c r="E10">
        <f>C10/C6</f>
        <v/>
      </c>
      <c r="H10" t="inlineStr">
        <is>
          <t>Star Health AR</t>
        </is>
      </c>
      <c r="I10" t="inlineStr">
        <is>
          <t>Star Health</t>
        </is>
      </c>
      <c r="J10" t="inlineStr">
        <is>
          <t>FY24</t>
        </is>
      </c>
    </row>
    <row r="11">
      <c r="A11" t="inlineStr"/>
      <c r="B11" s="7" t="inlineStr">
        <is>
          <t>D2C OPPORTUNITY (SOM)</t>
        </is>
      </c>
      <c r="C11" s="8">
        <f>C10</f>
        <v/>
      </c>
      <c r="D11" t="inlineStr">
        <is>
          <t>5-Year Target</t>
        </is>
      </c>
      <c r="E11">
        <f>E10</f>
        <v/>
      </c>
      <c r="H11" t="inlineStr">
        <is>
          <t>ICICI Lombard AR</t>
        </is>
      </c>
      <c r="I11" t="inlineStr">
        <is>
          <t>ICICI Lombard</t>
        </is>
      </c>
      <c r="J11" t="inlineStr">
        <is>
          <t>FY24</t>
        </is>
      </c>
    </row>
    <row r="14">
      <c r="A14" s="6" t="inlineStr">
        <is>
          <t>UNIT ECONOMICS (LTV/CAC)</t>
        </is>
      </c>
    </row>
    <row r="15">
      <c r="A15" s="2" t="inlineStr">
        <is>
          <t>Metric</t>
        </is>
      </c>
      <c r="B15" s="2" t="inlineStr">
        <is>
          <t>Value</t>
        </is>
      </c>
      <c r="C15" s="2" t="inlineStr">
        <is>
          <t>Formula</t>
        </is>
      </c>
      <c r="D15" s="2" t="inlineStr">
        <is>
          <t>Benchmark</t>
        </is>
      </c>
      <c r="E15" s="2" t="inlineStr">
        <is>
          <t>Status</t>
        </is>
      </c>
    </row>
    <row r="16">
      <c r="A16" t="inlineStr">
        <is>
          <t>Avg Annual Premium</t>
        </is>
      </c>
      <c r="B16">
        <f>A_Assumptions!C17</f>
        <v/>
      </c>
      <c r="C16">
        <f>Assumptions!C17</f>
        <v/>
      </c>
      <c r="D16" t="inlineStr">
        <is>
          <t>₹12,000 - ₹20,000</t>
        </is>
      </c>
      <c r="E16">
        <f>IF(B16&gt;=12000,"GOOD","LOW")</f>
        <v/>
      </c>
    </row>
    <row r="17">
      <c r="A17" t="inlineStr">
        <is>
          <t>Gross Margin %</t>
        </is>
      </c>
      <c r="B17">
        <f>1-A_Assumptions!C29-A_Assumptions!C30</f>
        <v/>
      </c>
      <c r="C17">
        <f>1-Claims%-Expense%</f>
        <v/>
      </c>
      <c r="D17" t="inlineStr">
        <is>
          <t>&gt;8%</t>
        </is>
      </c>
      <c r="E17">
        <f>IF(B17&gt;=0.08,"GOOD","IMPROVE")</f>
        <v/>
      </c>
    </row>
    <row r="18">
      <c r="A18" t="inlineStr">
        <is>
          <t>Avg Policy Life (Years)</t>
        </is>
      </c>
      <c r="B18">
        <f>A_Assumptions!C21</f>
        <v/>
      </c>
      <c r="C18">
        <f>Assumptions!C21</f>
        <v/>
      </c>
      <c r="D18" t="inlineStr">
        <is>
          <t>&gt;4 years</t>
        </is>
      </c>
      <c r="E18">
        <f>IF(B18&gt;=4,"GOOD","LOW")</f>
        <v/>
      </c>
    </row>
    <row r="19">
      <c r="A19" t="inlineStr">
        <is>
          <t>Customer LTV</t>
        </is>
      </c>
      <c r="B19">
        <f>B16*B17*B18</f>
        <v/>
      </c>
      <c r="C19">
        <f>Premium×Margin×Years</f>
        <v/>
      </c>
      <c r="D19" t="inlineStr">
        <is>
          <t>&gt;₹20,000</t>
        </is>
      </c>
      <c r="E19">
        <f>IF(B19&gt;=20000,"GOOD","IMPROVE")</f>
        <v/>
      </c>
    </row>
    <row r="20">
      <c r="A20" t="inlineStr">
        <is>
          <t>Blended CAC</t>
        </is>
      </c>
      <c r="B20">
        <f>A_Assumptions!C33*A_Assumptions!C41+A_Assumptions!C34*A_Assumptions!C42+A_Assumptions!C35*A_Assumptions!C43+A_Assumptions!C36*A_Assumptions!C44+A_Assumptions!C37*A_Assumptions!C45</f>
        <v/>
      </c>
      <c r="C20">
        <f>Σ(CAC×Channel%)</f>
        <v/>
      </c>
      <c r="D20" t="inlineStr">
        <is>
          <t>&lt;₹4,000</t>
        </is>
      </c>
      <c r="E20">
        <f>IF(B20&lt;=4000,"GOOD","HIGH")</f>
        <v/>
      </c>
    </row>
    <row r="21">
      <c r="A21" t="inlineStr">
        <is>
          <t>LTV:CAC Ratio</t>
        </is>
      </c>
      <c r="B21">
        <f>B19/B20</f>
        <v/>
      </c>
      <c r="C21">
        <f>LTV/CAC</f>
        <v/>
      </c>
      <c r="D21" t="inlineStr">
        <is>
          <t>&gt;3:1</t>
        </is>
      </c>
      <c r="E21">
        <f>IF(B21&gt;=3,"HEALTHY","IMPROVE")</f>
        <v/>
      </c>
    </row>
    <row r="22">
      <c r="A22" t="inlineStr">
        <is>
          <t>Payback Period (Months)</t>
        </is>
      </c>
      <c r="B22">
        <f>B20/(B16*B17/12)</f>
        <v/>
      </c>
      <c r="C22">
        <f>CAC/(MonthlyMargin)</f>
        <v/>
      </c>
      <c r="D22" t="inlineStr">
        <is>
          <t>&lt;18 months</t>
        </is>
      </c>
      <c r="E22">
        <f>IF(B22&lt;=18,"GOOD","LONG")</f>
        <v/>
      </c>
    </row>
    <row r="25">
      <c r="A25" s="6" t="inlineStr">
        <is>
          <t>5-YEAR PROJECTION SUMMARY</t>
        </is>
      </c>
    </row>
    <row r="26">
      <c r="A26" s="2" t="inlineStr">
        <is>
          <t>Metric</t>
        </is>
      </c>
      <c r="B26" s="2" t="inlineStr">
        <is>
          <t>Year 1</t>
        </is>
      </c>
      <c r="C26" s="2" t="inlineStr">
        <is>
          <t>Year 2</t>
        </is>
      </c>
      <c r="D26" s="2" t="inlineStr">
        <is>
          <t>Year 3</t>
        </is>
      </c>
      <c r="E26" s="2" t="inlineStr">
        <is>
          <t>Year 4</t>
        </is>
      </c>
      <c r="F26" s="2" t="inlineStr">
        <is>
          <t>Year 5</t>
        </is>
      </c>
      <c r="G26" s="2" t="inlineStr">
        <is>
          <t>5Y Total</t>
        </is>
      </c>
    </row>
    <row r="27">
      <c r="A27" t="inlineStr">
        <is>
          <t>New Customers</t>
        </is>
      </c>
      <c r="B27">
        <f>A_Assumptions!C22</f>
        <v/>
      </c>
      <c r="C27">
        <f>B27*(1+A_Assumptions!C23)</f>
        <v/>
      </c>
      <c r="D27">
        <f>C27*(1+A_Assumptions!C24)</f>
        <v/>
      </c>
      <c r="E27">
        <f>D27*(1+A_Assumptions!C25)</f>
        <v/>
      </c>
      <c r="F27">
        <f>E27*(1+A_Assumptions!C26)</f>
        <v/>
      </c>
      <c r="G27">
        <f>SUM(B27:F27)</f>
        <v/>
      </c>
    </row>
    <row r="28">
      <c r="A28" t="inlineStr">
        <is>
          <t>Retained Customers</t>
        </is>
      </c>
      <c r="B28" t="n">
        <v>0</v>
      </c>
      <c r="C28">
        <f>B29*A_Assumptions!C19</f>
        <v/>
      </c>
      <c r="D28">
        <f>C29*A_Assumptions!C20</f>
        <v/>
      </c>
      <c r="E28">
        <f>D29*A_Assumptions!C20</f>
        <v/>
      </c>
      <c r="F28">
        <f>E29*A_Assumptions!C20</f>
        <v/>
      </c>
      <c r="G28">
        <f>F28</f>
        <v/>
      </c>
    </row>
    <row r="29">
      <c r="A29" t="inlineStr">
        <is>
          <t>Total Customers</t>
        </is>
      </c>
      <c r="B29">
        <f>B27+B28</f>
        <v/>
      </c>
      <c r="C29">
        <f>C27+C28</f>
        <v/>
      </c>
      <c r="D29">
        <f>D27+D28</f>
        <v/>
      </c>
      <c r="E29">
        <f>E27+E28</f>
        <v/>
      </c>
      <c r="F29">
        <f>F27+F28</f>
        <v/>
      </c>
      <c r="G29">
        <f>F29</f>
        <v/>
      </c>
    </row>
    <row r="30">
      <c r="A30" t="inlineStr">
        <is>
          <t>Avg Premium (₹)</t>
        </is>
      </c>
      <c r="B30">
        <f>A_Assumptions!C17</f>
        <v/>
      </c>
      <c r="C30">
        <f>B30*(1+A_Assumptions!C18)</f>
        <v/>
      </c>
      <c r="D30">
        <f>C30*(1+A_Assumptions!C18)</f>
        <v/>
      </c>
      <c r="E30">
        <f>D30*(1+A_Assumptions!C18)</f>
        <v/>
      </c>
      <c r="F30">
        <f>E30*(1+A_Assumptions!C18)</f>
        <v/>
      </c>
      <c r="G30">
        <f>AVERAGE(B30:F30)</f>
        <v/>
      </c>
    </row>
    <row r="31">
      <c r="A31" t="inlineStr">
        <is>
          <t>GWP (₹ Cr)</t>
        </is>
      </c>
      <c r="B31">
        <f>B29*B30/10000000</f>
        <v/>
      </c>
      <c r="C31">
        <f>C29*C30/10000000</f>
        <v/>
      </c>
      <c r="D31">
        <f>D29*D30/10000000</f>
        <v/>
      </c>
      <c r="E31">
        <f>E29*E30/10000000</f>
        <v/>
      </c>
      <c r="F31">
        <f>F29*F30/10000000</f>
        <v/>
      </c>
      <c r="G31" s="9">
        <f>SUM(B31:F31)</f>
        <v/>
      </c>
    </row>
    <row r="32">
      <c r="A32" t="inlineStr">
        <is>
          <t>Gross Margin (₹ Cr)</t>
        </is>
      </c>
      <c r="B32">
        <f>B31*B17</f>
        <v/>
      </c>
      <c r="C32">
        <f>C31*B17</f>
        <v/>
      </c>
      <c r="D32">
        <f>D31*B17</f>
        <v/>
      </c>
      <c r="E32">
        <f>E31*B17</f>
        <v/>
      </c>
      <c r="F32">
        <f>F31*B17</f>
        <v/>
      </c>
      <c r="G32">
        <f>SUM(B32:F32)</f>
        <v/>
      </c>
    </row>
    <row r="33">
      <c r="A33" t="inlineStr">
        <is>
          <t>CAC Spend (₹ Cr)</t>
        </is>
      </c>
      <c r="B33">
        <f>B27*B20/10000000</f>
        <v/>
      </c>
      <c r="C33">
        <f>C27*B20*(1-A_Assumptions!C38)/10000000</f>
        <v/>
      </c>
      <c r="D33">
        <f>D27*B20*(1-A_Assumptions!C38)^2/10000000</f>
        <v/>
      </c>
      <c r="E33">
        <f>E27*B20*(1-A_Assumptions!C38)^3/10000000</f>
        <v/>
      </c>
      <c r="F33">
        <f>F27*B20*(1-A_Assumptions!C38)^4/10000000</f>
        <v/>
      </c>
      <c r="G33">
        <f>SUM(B33:F33)</f>
        <v/>
      </c>
    </row>
    <row r="34">
      <c r="A34" t="inlineStr">
        <is>
          <t>Contribution (₹ Cr)</t>
        </is>
      </c>
      <c r="B34">
        <f>B32-B33</f>
        <v/>
      </c>
      <c r="C34">
        <f>C32-C33</f>
        <v/>
      </c>
      <c r="D34">
        <f>D32-D33</f>
        <v/>
      </c>
      <c r="E34">
        <f>E32-E33</f>
        <v/>
      </c>
      <c r="F34">
        <f>F32-F33</f>
        <v/>
      </c>
      <c r="G34" s="9">
        <f>SUM(B34:F34)</f>
        <v/>
      </c>
    </row>
    <row r="35">
      <c r="A35" t="inlineStr">
        <is>
          <t>CAGR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>
        <f>(F31/B31)^(1/4)-1</f>
        <v/>
      </c>
    </row>
    <row r="38">
      <c r="A38" s="6" t="inlineStr">
        <is>
          <t>KEY OUTPUTS</t>
        </is>
      </c>
    </row>
    <row r="39">
      <c r="A39" t="inlineStr">
        <is>
          <t>5-Year SOM Target</t>
        </is>
      </c>
      <c r="B39" s="10">
        <f>C10</f>
        <v/>
      </c>
      <c r="C39" t="inlineStr">
        <is>
          <t>₹ Crore</t>
        </is>
      </c>
    </row>
    <row r="40">
      <c r="A40" t="inlineStr">
        <is>
          <t>Year 5 Customer Base</t>
        </is>
      </c>
      <c r="B40" s="10">
        <f>F29</f>
        <v/>
      </c>
      <c r="C40" t="inlineStr">
        <is>
          <t>Customers</t>
        </is>
      </c>
    </row>
    <row r="41">
      <c r="A41" t="inlineStr">
        <is>
          <t>Year 5 GWP</t>
        </is>
      </c>
      <c r="B41" s="10">
        <f>F31</f>
        <v/>
      </c>
      <c r="C41" t="inlineStr">
        <is>
          <t>₹ Crore</t>
        </is>
      </c>
    </row>
    <row r="42">
      <c r="A42" t="inlineStr">
        <is>
          <t>5-Year Total GWP</t>
        </is>
      </c>
      <c r="B42" s="10">
        <f>G31</f>
        <v/>
      </c>
      <c r="C42" t="inlineStr">
        <is>
          <t>₹ Crore</t>
        </is>
      </c>
    </row>
    <row r="43">
      <c r="A43" t="inlineStr">
        <is>
          <t>5-Year Contribution</t>
        </is>
      </c>
      <c r="B43" s="10">
        <f>G34</f>
        <v/>
      </c>
      <c r="C43" t="inlineStr">
        <is>
          <t>₹ Crore</t>
        </is>
      </c>
    </row>
    <row r="44">
      <c r="A44" t="inlineStr">
        <is>
          <t>LTV:CAC Ratio</t>
        </is>
      </c>
      <c r="B44" s="10">
        <f>B21</f>
        <v/>
      </c>
      <c r="C44" t="inlineStr">
        <is>
          <t>:1</t>
        </is>
      </c>
    </row>
    <row r="45">
      <c r="A45" t="inlineStr">
        <is>
          <t>GWP CAGR</t>
        </is>
      </c>
      <c r="B45" s="10">
        <f>G35</f>
        <v/>
      </c>
      <c r="C45" t="inlineStr">
        <is>
          <t>%</t>
        </is>
      </c>
    </row>
  </sheetData>
  <mergeCells count="7">
    <mergeCell ref="A1:J1"/>
    <mergeCell ref="A4:E4"/>
    <mergeCell ref="A2:J2"/>
    <mergeCell ref="A25:G25"/>
    <mergeCell ref="H4:J4"/>
    <mergeCell ref="A14:E14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>
      <c r="A1" s="11" t="inlineStr">
        <is>
          <t>CBDT ITR STATISTICS AY 2023-24</t>
        </is>
      </c>
    </row>
    <row r="2">
      <c r="A2" s="12" t="inlineStr">
        <is>
          <t>Source: https://incometaxindia.gov.in | Page 9, Table 1.1</t>
        </is>
      </c>
    </row>
    <row r="4">
      <c r="A4" s="2" t="inlineStr">
        <is>
          <t>Slab</t>
        </is>
      </c>
      <c r="B4" s="2" t="inlineStr">
        <is>
          <t>Income Range</t>
        </is>
      </c>
      <c r="C4" s="2" t="inlineStr">
        <is>
          <t>Filers</t>
        </is>
      </c>
      <c r="D4" s="2" t="inlineStr">
        <is>
          <t>% Total</t>
        </is>
      </c>
      <c r="E4" s="2" t="inlineStr">
        <is>
          <t>Cumulative</t>
        </is>
      </c>
      <c r="F4" s="2" t="inlineStr">
        <is>
          <t>Target</t>
        </is>
      </c>
      <c r="G4" s="2" t="inlineStr">
        <is>
          <t>Avg Premium</t>
        </is>
      </c>
      <c r="H4" s="2" t="inlineStr">
        <is>
          <t>TAM (₹Cr)</t>
        </is>
      </c>
    </row>
    <row r="5">
      <c r="A5" t="n">
        <v>1</v>
      </c>
      <c r="B5" t="inlineStr">
        <is>
          <t>Income = 0</t>
        </is>
      </c>
      <c r="C5" t="n">
        <v>1441175</v>
      </c>
      <c r="D5">
        <f>C5/C23</f>
        <v/>
      </c>
      <c r="E5">
        <f>D5</f>
        <v/>
      </c>
      <c r="F5" t="inlineStr">
        <is>
          <t>No</t>
        </is>
      </c>
      <c r="G5" t="n">
        <v>0</v>
      </c>
      <c r="H5" t="n">
        <v>0</v>
      </c>
    </row>
    <row r="6">
      <c r="A6" t="n">
        <v>2</v>
      </c>
      <c r="B6" t="inlineStr">
        <is>
          <t>&gt;0 to ≤1.5L</t>
        </is>
      </c>
      <c r="C6" t="n">
        <v>4144666</v>
      </c>
      <c r="D6">
        <f>C6/C23</f>
        <v/>
      </c>
      <c r="E6">
        <f>E5+D6</f>
        <v/>
      </c>
      <c r="F6" t="inlineStr">
        <is>
          <t>No</t>
        </is>
      </c>
      <c r="G6" t="n">
        <v>0</v>
      </c>
      <c r="H6" t="n">
        <v>0</v>
      </c>
    </row>
    <row r="7">
      <c r="A7" t="n">
        <v>3</v>
      </c>
      <c r="B7" t="inlineStr">
        <is>
          <t>&gt;1.5L to ≤2L</t>
        </is>
      </c>
      <c r="C7" t="n">
        <v>1509747</v>
      </c>
      <c r="D7">
        <f>C7/C23</f>
        <v/>
      </c>
      <c r="E7">
        <f>E6+D7</f>
        <v/>
      </c>
      <c r="F7" t="inlineStr">
        <is>
          <t>No</t>
        </is>
      </c>
      <c r="G7" t="n">
        <v>0</v>
      </c>
      <c r="H7" t="n">
        <v>0</v>
      </c>
    </row>
    <row r="8">
      <c r="A8" t="n">
        <v>4</v>
      </c>
      <c r="B8" t="inlineStr">
        <is>
          <t>&gt;2L to ≤2.5L</t>
        </is>
      </c>
      <c r="C8" t="n">
        <v>3036825</v>
      </c>
      <c r="D8">
        <f>C8/C23</f>
        <v/>
      </c>
      <c r="E8">
        <f>E7+D8</f>
        <v/>
      </c>
      <c r="F8" t="inlineStr">
        <is>
          <t>No</t>
        </is>
      </c>
      <c r="G8" t="n">
        <v>0</v>
      </c>
      <c r="H8" t="n">
        <v>0</v>
      </c>
    </row>
    <row r="9">
      <c r="A9" t="n">
        <v>5</v>
      </c>
      <c r="B9" t="inlineStr">
        <is>
          <t>&gt;2.5L to ≤3.5L</t>
        </is>
      </c>
      <c r="C9" t="n">
        <v>5946214</v>
      </c>
      <c r="D9">
        <f>C9/C23</f>
        <v/>
      </c>
      <c r="E9">
        <f>E8+D9</f>
        <v/>
      </c>
      <c r="F9" t="inlineStr">
        <is>
          <t>No</t>
        </is>
      </c>
      <c r="G9" t="n">
        <v>5000</v>
      </c>
      <c r="H9" t="n">
        <v>0</v>
      </c>
    </row>
    <row r="10">
      <c r="A10" t="n">
        <v>6</v>
      </c>
      <c r="B10" t="inlineStr">
        <is>
          <t>&gt;3.5L to ≤4L</t>
        </is>
      </c>
      <c r="C10" t="n">
        <v>4055198</v>
      </c>
      <c r="D10">
        <f>C10/C23</f>
        <v/>
      </c>
      <c r="E10">
        <f>E9+D10</f>
        <v/>
      </c>
      <c r="F10" t="inlineStr">
        <is>
          <t>No</t>
        </is>
      </c>
      <c r="G10" t="n">
        <v>5000</v>
      </c>
      <c r="H10" t="n">
        <v>0</v>
      </c>
    </row>
    <row r="11">
      <c r="A11" t="n">
        <v>7</v>
      </c>
      <c r="B11" t="inlineStr">
        <is>
          <t>&gt;4L to ≤4.5L</t>
        </is>
      </c>
      <c r="C11" t="n">
        <v>6024031</v>
      </c>
      <c r="D11">
        <f>C11/C23</f>
        <v/>
      </c>
      <c r="E11">
        <f>E10+D11</f>
        <v/>
      </c>
      <c r="F11" t="inlineStr">
        <is>
          <t>Low</t>
        </is>
      </c>
      <c r="G11" t="n">
        <v>6000</v>
      </c>
      <c r="H11" t="n">
        <v>0</v>
      </c>
    </row>
    <row r="12">
      <c r="A12" t="n">
        <v>8</v>
      </c>
      <c r="B12" t="inlineStr">
        <is>
          <t>&gt;4.5L to ≤5L</t>
        </is>
      </c>
      <c r="C12" t="n">
        <v>12600689</v>
      </c>
      <c r="D12">
        <f>C12/C23</f>
        <v/>
      </c>
      <c r="E12">
        <f>E11+D12</f>
        <v/>
      </c>
      <c r="F12" t="inlineStr">
        <is>
          <t>Low</t>
        </is>
      </c>
      <c r="G12" t="n">
        <v>8000</v>
      </c>
      <c r="H12" t="n">
        <v>0</v>
      </c>
    </row>
    <row r="13">
      <c r="A13" t="n">
        <v>9</v>
      </c>
      <c r="B13" t="inlineStr">
        <is>
          <t>&gt;5L to ≤5.5L</t>
        </is>
      </c>
      <c r="C13" t="n">
        <v>6154414</v>
      </c>
      <c r="D13">
        <f>C13/C23</f>
        <v/>
      </c>
      <c r="E13">
        <f>E12+D13</f>
        <v/>
      </c>
      <c r="F13" t="inlineStr">
        <is>
          <t>YES</t>
        </is>
      </c>
      <c r="G13" t="n">
        <v>10000</v>
      </c>
      <c r="H13">
        <f>C13*G13/10000000</f>
        <v/>
      </c>
    </row>
    <row r="14">
      <c r="A14" t="n">
        <v>10</v>
      </c>
      <c r="B14" t="inlineStr">
        <is>
          <t>&gt;5.5L to ≤9.5L</t>
        </is>
      </c>
      <c r="C14" t="n">
        <v>20697590</v>
      </c>
      <c r="D14">
        <f>C14/C23</f>
        <v/>
      </c>
      <c r="E14">
        <f>E13+D14</f>
        <v/>
      </c>
      <c r="F14" t="inlineStr">
        <is>
          <t>YES</t>
        </is>
      </c>
      <c r="G14" t="n">
        <v>12000</v>
      </c>
      <c r="H14">
        <f>C14*G14/10000000</f>
        <v/>
      </c>
    </row>
    <row r="15">
      <c r="A15" t="n">
        <v>11</v>
      </c>
      <c r="B15" t="inlineStr">
        <is>
          <t>&gt;9.5L to ≤10L</t>
        </is>
      </c>
      <c r="C15" t="n">
        <v>1084818</v>
      </c>
      <c r="D15">
        <f>C15/C23</f>
        <v/>
      </c>
      <c r="E15">
        <f>E14+D15</f>
        <v/>
      </c>
      <c r="F15" t="inlineStr">
        <is>
          <t>YES</t>
        </is>
      </c>
      <c r="G15" t="n">
        <v>15000</v>
      </c>
      <c r="H15">
        <f>C15*G15/10000000</f>
        <v/>
      </c>
    </row>
    <row r="16">
      <c r="A16" t="n">
        <v>12</v>
      </c>
      <c r="B16" t="inlineStr">
        <is>
          <t>&gt;10L to ≤15L</t>
        </is>
      </c>
      <c r="C16" t="n">
        <v>6379208</v>
      </c>
      <c r="D16">
        <f>C16/C23</f>
        <v/>
      </c>
      <c r="E16">
        <f>E15+D16</f>
        <v/>
      </c>
      <c r="F16" t="inlineStr">
        <is>
          <t>YES</t>
        </is>
      </c>
      <c r="G16" t="n">
        <v>18000</v>
      </c>
      <c r="H16">
        <f>C16*G16/10000000</f>
        <v/>
      </c>
    </row>
    <row r="17">
      <c r="A17" t="n">
        <v>13</v>
      </c>
      <c r="B17" t="inlineStr">
        <is>
          <t>&gt;15L to ≤20L</t>
        </is>
      </c>
      <c r="C17" t="n">
        <v>2503932</v>
      </c>
      <c r="D17">
        <f>C17/C23</f>
        <v/>
      </c>
      <c r="E17">
        <f>E16+D17</f>
        <v/>
      </c>
      <c r="F17" t="inlineStr">
        <is>
          <t>YES</t>
        </is>
      </c>
      <c r="G17" t="n">
        <v>22000</v>
      </c>
      <c r="H17">
        <f>C17*G17/10000000</f>
        <v/>
      </c>
    </row>
    <row r="18">
      <c r="A18" t="n">
        <v>14</v>
      </c>
      <c r="B18" t="inlineStr">
        <is>
          <t>&gt;20L to ≤25L</t>
        </is>
      </c>
      <c r="C18" t="n">
        <v>1240128</v>
      </c>
      <c r="D18">
        <f>C18/C23</f>
        <v/>
      </c>
      <c r="E18">
        <f>E17+D18</f>
        <v/>
      </c>
      <c r="F18" t="inlineStr">
        <is>
          <t>YES</t>
        </is>
      </c>
      <c r="G18" t="n">
        <v>28000</v>
      </c>
      <c r="H18">
        <f>C18*G18/10000000</f>
        <v/>
      </c>
    </row>
    <row r="19">
      <c r="A19" t="n">
        <v>15</v>
      </c>
      <c r="B19" t="inlineStr">
        <is>
          <t>&gt;25L to ≤50L</t>
        </is>
      </c>
      <c r="C19" t="n">
        <v>1953619</v>
      </c>
      <c r="D19">
        <f>C19/C23</f>
        <v/>
      </c>
      <c r="E19">
        <f>E18+D19</f>
        <v/>
      </c>
      <c r="F19" t="inlineStr">
        <is>
          <t>YES</t>
        </is>
      </c>
      <c r="G19" t="n">
        <v>35000</v>
      </c>
      <c r="H19">
        <f>C19*G19/10000000</f>
        <v/>
      </c>
    </row>
    <row r="20">
      <c r="A20" t="n">
        <v>16</v>
      </c>
      <c r="B20" t="inlineStr">
        <is>
          <t>&gt;50L to ≤1Cr</t>
        </is>
      </c>
      <c r="C20" t="n">
        <v>589762</v>
      </c>
      <c r="D20">
        <f>C20/C23</f>
        <v/>
      </c>
      <c r="E20">
        <f>E19+D20</f>
        <v/>
      </c>
      <c r="F20" t="inlineStr">
        <is>
          <t>PREMIUM</t>
        </is>
      </c>
      <c r="G20" t="n">
        <v>50000</v>
      </c>
      <c r="H20">
        <f>C20*G20/10000000</f>
        <v/>
      </c>
    </row>
    <row r="21">
      <c r="A21" t="n">
        <v>17</v>
      </c>
      <c r="B21" t="inlineStr">
        <is>
          <t>&gt;1Cr to ≤5Cr</t>
        </is>
      </c>
      <c r="C21" t="n">
        <v>291929</v>
      </c>
      <c r="D21">
        <f>C21/C23</f>
        <v/>
      </c>
      <c r="E21">
        <f>E20+D21</f>
        <v/>
      </c>
      <c r="F21" t="inlineStr">
        <is>
          <t>PREMIUM</t>
        </is>
      </c>
      <c r="G21" t="n">
        <v>75000</v>
      </c>
      <c r="H21">
        <f>C21*G21/10000000</f>
        <v/>
      </c>
    </row>
    <row r="22">
      <c r="A22" t="n">
        <v>18</v>
      </c>
      <c r="B22" t="inlineStr">
        <is>
          <t>&gt;5Cr+</t>
        </is>
      </c>
      <c r="C22" t="n">
        <v>74065</v>
      </c>
      <c r="D22">
        <f>C22/C23</f>
        <v/>
      </c>
      <c r="E22">
        <f>E21+D22</f>
        <v/>
      </c>
      <c r="F22" t="inlineStr">
        <is>
          <t>PREMIUM</t>
        </is>
      </c>
      <c r="G22" t="n">
        <v>100000</v>
      </c>
      <c r="H22">
        <f>C22*G22/10000000</f>
        <v/>
      </c>
    </row>
    <row r="23">
      <c r="A23" s="13" t="inlineStr">
        <is>
          <t>TOTAL</t>
        </is>
      </c>
      <c r="B23" t="inlineStr">
        <is>
          <t>All Filers</t>
        </is>
      </c>
      <c r="C23" s="13">
        <f>SUM(C5:C22)</f>
        <v/>
      </c>
      <c r="D23" t="inlineStr">
        <is>
          <t>100%</t>
        </is>
      </c>
      <c r="E23" t="inlineStr">
        <is>
          <t>100%</t>
        </is>
      </c>
      <c r="H23" s="13">
        <f>SUM(H5:H22)</f>
        <v/>
      </c>
    </row>
    <row r="25">
      <c r="A25" s="13" t="inlineStr">
        <is>
          <t>TARGET SEGMENT (&gt;5L)</t>
        </is>
      </c>
      <c r="B25" s="14">
        <f>SUM(C13:C22)</f>
        <v/>
      </c>
      <c r="C25">
        <f>B25/C23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1" t="inlineStr">
        <is>
          <t>COMPETITOR ANALYSIS - ANNUAL REPORTS &amp; DRHP DATA</t>
        </is>
      </c>
    </row>
    <row r="3">
      <c r="A3" s="2" t="inlineStr">
        <is>
          <t>Rank</t>
        </is>
      </c>
      <c r="B3" s="2" t="inlineStr">
        <is>
          <t>Insurer</t>
        </is>
      </c>
      <c r="C3" s="2" t="inlineStr">
        <is>
          <t>Type</t>
        </is>
      </c>
      <c r="D3" s="2" t="inlineStr">
        <is>
          <t>GWP (₹Cr)</t>
        </is>
      </c>
      <c r="E3" s="2" t="inlineStr">
        <is>
          <t>Share</t>
        </is>
      </c>
      <c r="F3" s="2" t="inlineStr">
        <is>
          <t>Health GWP</t>
        </is>
      </c>
      <c r="G3" s="2" t="inlineStr">
        <is>
          <t>Claims%</t>
        </is>
      </c>
      <c r="H3" s="2" t="inlineStr">
        <is>
          <t>Combined%</t>
        </is>
      </c>
      <c r="I3" s="2" t="inlineStr">
        <is>
          <t>Growth</t>
        </is>
      </c>
      <c r="J3" s="2" t="inlineStr">
        <is>
          <t>Solvency</t>
        </is>
      </c>
      <c r="K3" s="2" t="inlineStr">
        <is>
          <t>Source</t>
        </is>
      </c>
      <c r="L3" s="2" t="inlineStr">
        <is>
          <t>Page</t>
        </is>
      </c>
    </row>
    <row r="4">
      <c r="A4" t="n">
        <v>1</v>
      </c>
      <c r="B4" t="inlineStr">
        <is>
          <t>New India Assurance</t>
        </is>
      </c>
      <c r="C4" t="inlineStr">
        <is>
          <t>PSU</t>
        </is>
      </c>
      <c r="D4" t="n">
        <v>40364</v>
      </c>
      <c r="E4" t="inlineStr">
        <is>
          <t>13.1%</t>
        </is>
      </c>
      <c r="F4" t="n">
        <v>12109</v>
      </c>
      <c r="G4" t="inlineStr">
        <is>
          <t>97.2%</t>
        </is>
      </c>
      <c r="H4" t="inlineStr">
        <is>
          <t>116%</t>
        </is>
      </c>
      <c r="I4" t="inlineStr">
        <is>
          <t>8.9%</t>
        </is>
      </c>
      <c r="J4" t="inlineStr">
        <is>
          <t>1.67x</t>
        </is>
      </c>
      <c r="K4" t="inlineStr">
        <is>
          <t>IRDAI AR</t>
        </is>
      </c>
      <c r="L4" t="inlineStr">
        <is>
          <t>Ch5</t>
        </is>
      </c>
    </row>
    <row r="5">
      <c r="A5" t="n">
        <v>2</v>
      </c>
      <c r="B5" t="inlineStr">
        <is>
          <t>ICICI Lombard</t>
        </is>
      </c>
      <c r="C5" t="inlineStr">
        <is>
          <t>Private</t>
        </is>
      </c>
      <c r="D5" t="n">
        <v>24776</v>
      </c>
      <c r="E5" t="inlineStr">
        <is>
          <t>8.7%</t>
        </is>
      </c>
      <c r="F5" t="n">
        <v>2800</v>
      </c>
      <c r="G5" t="inlineStr">
        <is>
          <t>76.5%</t>
        </is>
      </c>
      <c r="H5" t="inlineStr">
        <is>
          <t>103.8%</t>
        </is>
      </c>
      <c r="I5" t="inlineStr">
        <is>
          <t>20.4%</t>
        </is>
      </c>
      <c r="J5" t="inlineStr">
        <is>
          <t>2.69x</t>
        </is>
      </c>
      <c r="K5" t="inlineStr">
        <is>
          <t>Company AR</t>
        </is>
      </c>
      <c r="L5" t="inlineStr">
        <is>
          <t>Fin</t>
        </is>
      </c>
    </row>
    <row r="6">
      <c r="A6" t="n">
        <v>3</v>
      </c>
      <c r="B6" t="inlineStr">
        <is>
          <t>Bajaj Allianz</t>
        </is>
      </c>
      <c r="C6" t="inlineStr">
        <is>
          <t>Private</t>
        </is>
      </c>
      <c r="D6" t="n">
        <v>22000</v>
      </c>
      <c r="E6" t="inlineStr">
        <is>
          <t>7.7%</t>
        </is>
      </c>
      <c r="F6" t="n">
        <v>3300</v>
      </c>
      <c r="G6" t="inlineStr">
        <is>
          <t>78%</t>
        </is>
      </c>
      <c r="H6" t="inlineStr">
        <is>
          <t>99.9%</t>
        </is>
      </c>
      <c r="I6" t="inlineStr">
        <is>
          <t>14.8%</t>
        </is>
      </c>
      <c r="J6" t="inlineStr">
        <is>
          <t>3.49x</t>
        </is>
      </c>
      <c r="K6" t="inlineStr">
        <is>
          <t>ICRA</t>
        </is>
      </c>
      <c r="L6" t="inlineStr">
        <is>
          <t>Rating</t>
        </is>
      </c>
    </row>
    <row r="7">
      <c r="A7" t="n">
        <v>4</v>
      </c>
      <c r="B7" t="inlineStr">
        <is>
          <t>Star Health</t>
        </is>
      </c>
      <c r="C7" t="inlineStr">
        <is>
          <t>SAHI</t>
        </is>
      </c>
      <c r="D7" t="n">
        <v>15254</v>
      </c>
      <c r="E7" t="inlineStr">
        <is>
          <t>5.3%</t>
        </is>
      </c>
      <c r="F7" t="n">
        <v>15254</v>
      </c>
      <c r="G7" t="inlineStr">
        <is>
          <t>66.5%</t>
        </is>
      </c>
      <c r="H7" t="inlineStr">
        <is>
          <t>97.3%</t>
        </is>
      </c>
      <c r="I7" t="inlineStr">
        <is>
          <t>22.3%</t>
        </is>
      </c>
      <c r="J7" t="inlineStr">
        <is>
          <t>2.15x</t>
        </is>
      </c>
      <c r="K7" t="inlineStr">
        <is>
          <t>Company AR</t>
        </is>
      </c>
      <c r="L7" t="inlineStr">
        <is>
          <t>Fin</t>
        </is>
      </c>
    </row>
    <row r="8">
      <c r="A8" t="n">
        <v>5</v>
      </c>
      <c r="B8" t="inlineStr">
        <is>
          <t>United India</t>
        </is>
      </c>
      <c r="C8" t="inlineStr">
        <is>
          <t>PSU</t>
        </is>
      </c>
      <c r="D8" t="n">
        <v>19852</v>
      </c>
      <c r="E8" t="inlineStr">
        <is>
          <t>6.8%</t>
        </is>
      </c>
      <c r="F8" t="n">
        <v>5956</v>
      </c>
      <c r="G8" t="inlineStr">
        <is>
          <t>97%</t>
        </is>
      </c>
      <c r="H8" t="inlineStr">
        <is>
          <t>118%</t>
        </is>
      </c>
      <c r="I8" t="inlineStr">
        <is>
          <t>5%</t>
        </is>
      </c>
      <c r="J8" t="inlineStr">
        <is>
          <t>1.52x</t>
        </is>
      </c>
      <c r="K8" t="inlineStr">
        <is>
          <t>IRDAI AR</t>
        </is>
      </c>
      <c r="L8" t="inlineStr">
        <is>
          <t>Ch5</t>
        </is>
      </c>
    </row>
    <row r="9">
      <c r="A9" t="n">
        <v>6</v>
      </c>
      <c r="B9" t="inlineStr">
        <is>
          <t>HDFC ERGO</t>
        </is>
      </c>
      <c r="C9" t="inlineStr">
        <is>
          <t>Private</t>
        </is>
      </c>
      <c r="D9" t="n">
        <v>9000</v>
      </c>
      <c r="E9" t="inlineStr">
        <is>
          <t>3.1%</t>
        </is>
      </c>
      <c r="F9" t="n">
        <v>1800</v>
      </c>
      <c r="G9" t="inlineStr">
        <is>
          <t>82%</t>
        </is>
      </c>
      <c r="H9" t="inlineStr">
        <is>
          <t>102%</t>
        </is>
      </c>
      <c r="I9" t="inlineStr">
        <is>
          <t>12%</t>
        </is>
      </c>
      <c r="J9" t="inlineStr">
        <is>
          <t>2.35x</t>
        </is>
      </c>
      <c r="K9" t="inlineStr">
        <is>
          <t>Company AR</t>
        </is>
      </c>
      <c r="L9" t="inlineStr">
        <is>
          <t>Fin</t>
        </is>
      </c>
    </row>
    <row r="10">
      <c r="A10" t="n">
        <v>7</v>
      </c>
      <c r="B10" t="inlineStr">
        <is>
          <t>Tata AIG</t>
        </is>
      </c>
      <c r="C10" t="inlineStr">
        <is>
          <t>Private</t>
        </is>
      </c>
      <c r="D10" t="n">
        <v>8500</v>
      </c>
      <c r="E10" t="inlineStr">
        <is>
          <t>2.9%</t>
        </is>
      </c>
      <c r="F10" t="n">
        <v>1700</v>
      </c>
      <c r="G10" t="inlineStr">
        <is>
          <t>80%</t>
        </is>
      </c>
      <c r="H10" t="inlineStr">
        <is>
          <t>100%</t>
        </is>
      </c>
      <c r="I10" t="inlineStr">
        <is>
          <t>18%</t>
        </is>
      </c>
      <c r="J10" t="inlineStr">
        <is>
          <t>2.45x</t>
        </is>
      </c>
      <c r="K10" t="inlineStr">
        <is>
          <t>Company AR</t>
        </is>
      </c>
      <c r="L10" t="inlineStr">
        <is>
          <t>Fin</t>
        </is>
      </c>
    </row>
    <row r="11">
      <c r="A11" t="n">
        <v>8</v>
      </c>
      <c r="B11" t="inlineStr">
        <is>
          <t>Niva Bupa</t>
        </is>
      </c>
      <c r="C11" t="inlineStr">
        <is>
          <t>SAHI</t>
        </is>
      </c>
      <c r="D11" t="n">
        <v>5499</v>
      </c>
      <c r="E11" t="inlineStr">
        <is>
          <t>1.9%</t>
        </is>
      </c>
      <c r="F11" t="n">
        <v>5499</v>
      </c>
      <c r="G11" t="inlineStr">
        <is>
          <t>70%</t>
        </is>
      </c>
      <c r="H11" t="inlineStr">
        <is>
          <t>95%</t>
        </is>
      </c>
      <c r="I11" t="inlineStr">
        <is>
          <t>41%</t>
        </is>
      </c>
      <c r="J11" t="inlineStr">
        <is>
          <t>1.85x</t>
        </is>
      </c>
      <c r="K11" t="inlineStr">
        <is>
          <t>DRHP</t>
        </is>
      </c>
      <c r="L11" t="inlineStr">
        <is>
          <t>Pg12</t>
        </is>
      </c>
    </row>
    <row r="12">
      <c r="A12" t="n">
        <v>9</v>
      </c>
      <c r="B12" t="inlineStr">
        <is>
          <t>Care Health</t>
        </is>
      </c>
      <c r="C12" t="inlineStr">
        <is>
          <t>SAHI</t>
        </is>
      </c>
      <c r="D12" t="n">
        <v>4500</v>
      </c>
      <c r="E12" t="inlineStr">
        <is>
          <t>1.6%</t>
        </is>
      </c>
      <c r="F12" t="n">
        <v>4500</v>
      </c>
      <c r="G12" t="inlineStr">
        <is>
          <t>68%</t>
        </is>
      </c>
      <c r="H12" t="inlineStr">
        <is>
          <t>93%</t>
        </is>
      </c>
      <c r="I12" t="inlineStr">
        <is>
          <t>20%</t>
        </is>
      </c>
      <c r="J12" t="inlineStr">
        <is>
          <t>1.92x</t>
        </is>
      </c>
      <c r="K12" t="inlineStr">
        <is>
          <t>Company AR</t>
        </is>
      </c>
      <c r="L12" t="inlineStr">
        <is>
          <t>Fin</t>
        </is>
      </c>
    </row>
    <row r="13">
      <c r="A13" t="n">
        <v>10</v>
      </c>
      <c r="B13" t="inlineStr">
        <is>
          <t>Aditya Birla</t>
        </is>
      </c>
      <c r="C13" t="inlineStr">
        <is>
          <t>SAHI</t>
        </is>
      </c>
      <c r="D13" t="n">
        <v>3290</v>
      </c>
      <c r="E13" t="inlineStr">
        <is>
          <t>1.1%</t>
        </is>
      </c>
      <c r="F13" t="n">
        <v>3290</v>
      </c>
      <c r="G13" t="inlineStr">
        <is>
          <t>72%</t>
        </is>
      </c>
      <c r="H13" t="inlineStr">
        <is>
          <t>96%</t>
        </is>
      </c>
      <c r="I13" t="inlineStr">
        <is>
          <t>48%</t>
        </is>
      </c>
      <c r="J13" t="inlineStr">
        <is>
          <t>1.75x</t>
        </is>
      </c>
      <c r="K13" t="inlineStr">
        <is>
          <t>Company AR</t>
        </is>
      </c>
      <c r="L13" t="inlineStr">
        <is>
          <t>Fin</t>
        </is>
      </c>
    </row>
    <row r="16">
      <c r="A16" s="6" t="inlineStr">
        <is>
          <t>ICICI LOMBARD GAP ANALYSIS</t>
        </is>
      </c>
    </row>
    <row r="17">
      <c r="A17" s="2" t="inlineStr">
        <is>
          <t>Metric</t>
        </is>
      </c>
      <c r="B17" s="2" t="inlineStr">
        <is>
          <t>ICICI</t>
        </is>
      </c>
      <c r="C17" s="2" t="inlineStr">
        <is>
          <t>Star Health</t>
        </is>
      </c>
      <c r="D17" s="2" t="inlineStr">
        <is>
          <t>Gap</t>
        </is>
      </c>
      <c r="E17" s="2" t="inlineStr">
        <is>
          <t>Target</t>
        </is>
      </c>
      <c r="F17" s="2" t="inlineStr">
        <is>
          <t>Action</t>
        </is>
      </c>
    </row>
    <row r="18">
      <c r="A18" t="inlineStr">
        <is>
          <t>Retail Health Share</t>
        </is>
      </c>
      <c r="B18" t="inlineStr">
        <is>
          <t>2.9%</t>
        </is>
      </c>
      <c r="C18" t="inlineStr">
        <is>
          <t>33%</t>
        </is>
      </c>
      <c r="D18">
        <f>C18-B18</f>
        <v/>
      </c>
      <c r="E18" t="inlineStr">
        <is>
          <t>10%</t>
        </is>
      </c>
      <c r="F18" t="inlineStr">
        <is>
          <t>D2C Focus</t>
        </is>
      </c>
    </row>
    <row r="19">
      <c r="A19" t="inlineStr">
        <is>
          <t>Claims Ratio</t>
        </is>
      </c>
      <c r="B19" t="inlineStr">
        <is>
          <t>76.5%</t>
        </is>
      </c>
      <c r="C19" t="inlineStr">
        <is>
          <t>66.5%</t>
        </is>
      </c>
      <c r="D19">
        <f>B19-C19</f>
        <v/>
      </c>
      <c r="E19" t="inlineStr">
        <is>
          <t>65%</t>
        </is>
      </c>
      <c r="F19" t="inlineStr">
        <is>
          <t>Underwriting</t>
        </is>
      </c>
    </row>
    <row r="20">
      <c r="A20" t="inlineStr">
        <is>
          <t>Digital Share</t>
        </is>
      </c>
      <c r="B20" t="inlineStr">
        <is>
          <t>17.4%</t>
        </is>
      </c>
      <c r="C20" t="inlineStr">
        <is>
          <t>15%</t>
        </is>
      </c>
      <c r="D20">
        <f>B20-C20</f>
        <v/>
      </c>
      <c r="E20" t="inlineStr">
        <is>
          <t>35%</t>
        </is>
      </c>
      <c r="F20" t="inlineStr">
        <is>
          <t>App Launch</t>
        </is>
      </c>
    </row>
    <row r="21">
      <c r="A21" t="inlineStr">
        <is>
          <t>Agent Network</t>
        </is>
      </c>
      <c r="B21" t="inlineStr">
        <is>
          <t>150K</t>
        </is>
      </c>
      <c r="C21" t="inlineStr">
        <is>
          <t>701K</t>
        </is>
      </c>
      <c r="D21">
        <f>C21-B21</f>
        <v/>
      </c>
      <c r="E21" t="inlineStr">
        <is>
          <t>250K</t>
        </is>
      </c>
      <c r="F21" t="inlineStr">
        <is>
          <t>Hybrid Model</t>
        </is>
      </c>
    </row>
    <row r="22">
      <c r="A22" t="inlineStr">
        <is>
          <t>Renewal Rate</t>
        </is>
      </c>
      <c r="B22" t="inlineStr">
        <is>
          <t>80%</t>
        </is>
      </c>
      <c r="C22" t="inlineStr">
        <is>
          <t>82%</t>
        </is>
      </c>
      <c r="D22">
        <f>C22-B22</f>
        <v/>
      </c>
      <c r="E22" t="inlineStr">
        <is>
          <t>90%</t>
        </is>
      </c>
      <c r="F22" t="inlineStr">
        <is>
          <t>Engagement</t>
        </is>
      </c>
    </row>
  </sheetData>
  <mergeCells count="2">
    <mergeCell ref="A16:F1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CUSTOMER LIFETIME VALUE - DETAILED NPV CALCULATION</t>
        </is>
      </c>
    </row>
    <row r="3">
      <c r="A3" s="15" t="inlineStr">
        <is>
          <t>All inputs linked to Assumptions sheet</t>
        </is>
      </c>
    </row>
    <row r="5">
      <c r="A5" s="2" t="inlineStr">
        <is>
          <t>Year</t>
        </is>
      </c>
      <c r="B5" s="2" t="inlineStr">
        <is>
          <t>Premium</t>
        </is>
      </c>
      <c r="C5" s="2" t="inlineStr">
        <is>
          <t>Retention</t>
        </is>
      </c>
      <c r="D5" s="2" t="inlineStr">
        <is>
          <t>Expected Premium</t>
        </is>
      </c>
      <c r="E5" s="2" t="inlineStr">
        <is>
          <t>Gross Margin</t>
        </is>
      </c>
      <c r="F5" s="2" t="inlineStr">
        <is>
          <t>Discount</t>
        </is>
      </c>
      <c r="G5" s="2" t="inlineStr">
        <is>
          <t>PV Margin</t>
        </is>
      </c>
      <c r="H5" s="2" t="inlineStr">
        <is>
          <t>Cumulative</t>
        </is>
      </c>
    </row>
    <row r="6">
      <c r="A6" t="n">
        <v>1</v>
      </c>
      <c r="B6">
        <f>A_Assumptions!C17</f>
        <v/>
      </c>
      <c r="C6" t="inlineStr">
        <is>
          <t>100%</t>
        </is>
      </c>
      <c r="D6">
        <f>B6*C6</f>
        <v/>
      </c>
      <c r="E6">
        <f>D6*(1-A_Assumptions!C29-A_Assumptions!C30)</f>
        <v/>
      </c>
      <c r="F6">
        <f>1/(1+A_Assumptions!C32)^A6</f>
        <v/>
      </c>
      <c r="G6">
        <f>E6*F6</f>
        <v/>
      </c>
      <c r="H6">
        <f>G6</f>
        <v/>
      </c>
    </row>
    <row r="7">
      <c r="A7" t="n">
        <v>2</v>
      </c>
      <c r="B7">
        <f>B6*(1+A_Assumptions!C18)</f>
        <v/>
      </c>
      <c r="C7">
        <f>A_Assumptions!C19</f>
        <v/>
      </c>
      <c r="D7">
        <f>B7*C7</f>
        <v/>
      </c>
      <c r="E7">
        <f>D7*(1-A_Assumptions!C29-A_Assumptions!C30)</f>
        <v/>
      </c>
      <c r="F7">
        <f>1/(1+A_Assumptions!C32)^A7</f>
        <v/>
      </c>
      <c r="G7">
        <f>E7*F7</f>
        <v/>
      </c>
      <c r="H7">
        <f>H6+G7</f>
        <v/>
      </c>
    </row>
    <row r="8">
      <c r="A8" t="n">
        <v>3</v>
      </c>
      <c r="B8">
        <f>B7*(1+A_Assumptions!C18)</f>
        <v/>
      </c>
      <c r="C8">
        <f>C7*A_Assumptions!C20</f>
        <v/>
      </c>
      <c r="D8">
        <f>B8*C8</f>
        <v/>
      </c>
      <c r="E8">
        <f>D8*(1-A_Assumptions!C29-A_Assumptions!C30)</f>
        <v/>
      </c>
      <c r="F8">
        <f>1/(1+A_Assumptions!C32)^A8</f>
        <v/>
      </c>
      <c r="G8">
        <f>E8*F8</f>
        <v/>
      </c>
      <c r="H8">
        <f>H7+G8</f>
        <v/>
      </c>
    </row>
    <row r="9">
      <c r="A9" t="n">
        <v>4</v>
      </c>
      <c r="B9">
        <f>B8*(1+A_Assumptions!C18)</f>
        <v/>
      </c>
      <c r="C9">
        <f>C8*A_Assumptions!C20</f>
        <v/>
      </c>
      <c r="D9">
        <f>B9*C9</f>
        <v/>
      </c>
      <c r="E9">
        <f>D9*(1-A_Assumptions!C29-A_Assumptions!C30)</f>
        <v/>
      </c>
      <c r="F9">
        <f>1/(1+A_Assumptions!C32)^A9</f>
        <v/>
      </c>
      <c r="G9">
        <f>E9*F9</f>
        <v/>
      </c>
      <c r="H9">
        <f>H8+G9</f>
        <v/>
      </c>
    </row>
    <row r="10">
      <c r="A10" t="n">
        <v>5</v>
      </c>
      <c r="B10">
        <f>B9*(1+A_Assumptions!C18)</f>
        <v/>
      </c>
      <c r="C10">
        <f>C9*A_Assumptions!C20</f>
        <v/>
      </c>
      <c r="D10">
        <f>B10*C10</f>
        <v/>
      </c>
      <c r="E10">
        <f>D10*(1-A_Assumptions!C29-A_Assumptions!C30)</f>
        <v/>
      </c>
      <c r="F10">
        <f>1/(1+A_Assumptions!C32)^A10</f>
        <v/>
      </c>
      <c r="G10">
        <f>E10*F10</f>
        <v/>
      </c>
      <c r="H10">
        <f>H9+G10</f>
        <v/>
      </c>
    </row>
    <row r="12">
      <c r="A12" s="7" t="inlineStr">
        <is>
          <t>5-YEAR LTV</t>
        </is>
      </c>
      <c r="B12" s="8">
        <f>H10</f>
        <v/>
      </c>
    </row>
    <row r="15">
      <c r="A15" s="6" t="inlineStr">
        <is>
          <t>CAC BY CHANNEL</t>
        </is>
      </c>
    </row>
    <row r="16">
      <c r="A16" s="2" t="inlineStr">
        <is>
          <t>Channel</t>
        </is>
      </c>
      <c r="B16" s="2" t="inlineStr">
        <is>
          <t>CAC (₹)</t>
        </is>
      </c>
      <c r="C16" s="2" t="inlineStr">
        <is>
          <t>Mix %</t>
        </is>
      </c>
      <c r="D16" s="2" t="inlineStr">
        <is>
          <t>Weighted CAC</t>
        </is>
      </c>
    </row>
    <row r="17">
      <c r="A17" t="inlineStr">
        <is>
          <t>D2C Organic</t>
        </is>
      </c>
      <c r="B17">
        <f>A_Assumptions!C33</f>
        <v/>
      </c>
      <c r="C17">
        <f>A_Assumptions!C41</f>
        <v/>
      </c>
      <c r="D17">
        <f>B17*C17</f>
        <v/>
      </c>
    </row>
    <row r="18">
      <c r="A18" t="inlineStr">
        <is>
          <t>D2C Paid</t>
        </is>
      </c>
      <c r="B18">
        <f>A_Assumptions!C34</f>
        <v/>
      </c>
      <c r="C18">
        <f>A_Assumptions!C42</f>
        <v/>
      </c>
      <c r="D18">
        <f>B18*C18</f>
        <v/>
      </c>
    </row>
    <row r="19">
      <c r="A19" t="inlineStr">
        <is>
          <t>Aggregators</t>
        </is>
      </c>
      <c r="B19">
        <f>A_Assumptions!C35</f>
        <v/>
      </c>
      <c r="C19">
        <f>A_Assumptions!C43</f>
        <v/>
      </c>
      <c r="D19">
        <f>B19*C19</f>
        <v/>
      </c>
    </row>
    <row r="20">
      <c r="A20" t="inlineStr">
        <is>
          <t>Agents/Brokers</t>
        </is>
      </c>
      <c r="B20">
        <f>A_Assumptions!C36</f>
        <v/>
      </c>
      <c r="C20">
        <f>A_Assumptions!C44</f>
        <v/>
      </c>
      <c r="D20">
        <f>B20*C20</f>
        <v/>
      </c>
    </row>
    <row r="21">
      <c r="A21" t="inlineStr">
        <is>
          <t>Bancassurance</t>
        </is>
      </c>
      <c r="B21">
        <f>A_Assumptions!C37</f>
        <v/>
      </c>
      <c r="C21">
        <f>A_Assumptions!C45</f>
        <v/>
      </c>
      <c r="D21">
        <f>B21*C21</f>
        <v/>
      </c>
    </row>
    <row r="22">
      <c r="A22" s="13" t="inlineStr">
        <is>
          <t>BLENDED CAC</t>
        </is>
      </c>
      <c r="B22" s="16">
        <f>SUM(D17:D21)</f>
        <v/>
      </c>
      <c r="C22">
        <f>SUM(C17:C21)</f>
        <v/>
      </c>
      <c r="D22">
        <f>SUM(D17:D21)</f>
        <v/>
      </c>
    </row>
    <row r="25">
      <c r="A25" s="7" t="inlineStr">
        <is>
          <t>LTV:CAC RATIO</t>
        </is>
      </c>
      <c r="B25" s="8">
        <f>B12/B22</f>
        <v/>
      </c>
    </row>
    <row r="26">
      <c r="A26" t="inlineStr">
        <is>
          <t>Payback (Months)</t>
        </is>
      </c>
      <c r="B26">
        <f>B22/(A_Assumptions!C17*(1-A_Assumptions!C29-A_Assumptions!C30)/12)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55" customWidth="1" min="4" max="4"/>
    <col width="10" customWidth="1" min="5" max="5"/>
    <col width="14" customWidth="1" min="6" max="6"/>
    <col width="25" customWidth="1" min="7" max="7"/>
  </cols>
  <sheetData>
    <row r="1">
      <c r="A1" s="11" t="inlineStr">
        <is>
          <t>DATA SOURCES WITH FULL CITATIONS</t>
        </is>
      </c>
    </row>
    <row r="3">
      <c r="A3" s="2" t="inlineStr">
        <is>
          <t>ID</t>
        </is>
      </c>
      <c r="B3" s="2" t="inlineStr">
        <is>
          <t>Document</t>
        </is>
      </c>
      <c r="C3" s="2" t="inlineStr">
        <is>
          <t>Publisher</t>
        </is>
      </c>
      <c r="D3" s="2" t="inlineStr">
        <is>
          <t>URL</t>
        </is>
      </c>
      <c r="E3" s="2" t="inlineStr">
        <is>
          <t>Date</t>
        </is>
      </c>
      <c r="F3" s="2" t="inlineStr">
        <is>
          <t>Pages Used</t>
        </is>
      </c>
      <c r="G3" s="2" t="inlineStr">
        <is>
          <t>Key Data</t>
        </is>
      </c>
    </row>
    <row r="4">
      <c r="A4" t="inlineStr">
        <is>
          <t>S01</t>
        </is>
      </c>
      <c r="B4" t="inlineStr">
        <is>
          <t>ITR Statistics AY 2023-24</t>
        </is>
      </c>
      <c r="C4" t="inlineStr">
        <is>
          <t>CBDT, Ministry of Finance</t>
        </is>
      </c>
      <c r="D4" s="17" t="inlineStr">
        <is>
          <t>https://incometaxindia.gov.in/Documents/Direct%20Tax%20Data/Approved-version-Income-Tax-Return-Statistics-for-the-AY-2023-24.pdf</t>
        </is>
      </c>
      <c r="E4" t="inlineStr">
        <is>
          <t>Jun 2024</t>
        </is>
      </c>
      <c r="F4" t="inlineStr">
        <is>
          <t>6, 9, 10</t>
        </is>
      </c>
      <c r="G4" t="inlineStr">
        <is>
          <t>7.97Cr filers, income slabs</t>
        </is>
      </c>
    </row>
    <row r="5">
      <c r="A5" t="inlineStr">
        <is>
          <t>S02</t>
        </is>
      </c>
      <c r="B5" t="inlineStr">
        <is>
          <t>IRDAI Annual Report 2023-24</t>
        </is>
      </c>
      <c r="C5" t="inlineStr">
        <is>
          <t>IRDAI</t>
        </is>
      </c>
      <c r="D5" s="17" t="inlineStr">
        <is>
          <t>https://irdai.gov.in/document-detail?documentId=6436847</t>
        </is>
      </c>
      <c r="E5" t="inlineStr">
        <is>
          <t>Dec 2024</t>
        </is>
      </c>
      <c r="F5" t="inlineStr">
        <is>
          <t>All</t>
        </is>
      </c>
      <c r="G5" t="inlineStr">
        <is>
          <t>₹11.19T premium, penetration</t>
        </is>
      </c>
    </row>
    <row r="6">
      <c r="A6" t="inlineStr">
        <is>
          <t>S03</t>
        </is>
      </c>
      <c r="B6" t="inlineStr">
        <is>
          <t>GI Council Yearbook 2023-24</t>
        </is>
      </c>
      <c r="C6" t="inlineStr">
        <is>
          <t>General Insurance Council</t>
        </is>
      </c>
      <c r="D6" s="17" t="inlineStr">
        <is>
          <t>https://www.gicouncil.in/yearbook/2023-24/</t>
        </is>
      </c>
      <c r="E6" t="inlineStr">
        <is>
          <t>Feb 2025</t>
        </is>
      </c>
      <c r="F6" t="inlineStr">
        <is>
          <t>Exec Summary</t>
        </is>
      </c>
      <c r="G6" t="inlineStr">
        <is>
          <t>₹2.90T GDPI, 40.3% health</t>
        </is>
      </c>
    </row>
    <row r="7">
      <c r="A7" t="inlineStr">
        <is>
          <t>S04</t>
        </is>
      </c>
      <c r="B7" t="inlineStr">
        <is>
          <t>Niva Bupa DRHP Industry Report</t>
        </is>
      </c>
      <c r="C7" t="inlineStr">
        <is>
          <t>Niva Bupa (Redseer)</t>
        </is>
      </c>
      <c r="D7" s="17" t="inlineStr">
        <is>
          <t>https://transactions.nivabupa.com/pages/doc/drhp/Industry-Report.pdf</t>
        </is>
      </c>
      <c r="E7" t="inlineStr">
        <is>
          <t>Jun 2024</t>
        </is>
      </c>
      <c r="F7" t="inlineStr">
        <is>
          <t>1-50</t>
        </is>
      </c>
      <c r="G7" t="inlineStr">
        <is>
          <t>Retail 38.7%, SAHI 27.1%</t>
        </is>
      </c>
    </row>
    <row r="8">
      <c r="A8" t="inlineStr">
        <is>
          <t>S05</t>
        </is>
      </c>
      <c r="B8" t="inlineStr">
        <is>
          <t>Niva Bupa Annual Report FY24</t>
        </is>
      </c>
      <c r="C8" t="inlineStr">
        <is>
          <t>Niva Bupa Health Insurance</t>
        </is>
      </c>
      <c r="D8" s="17" t="inlineStr">
        <is>
          <t>https://transactions.nivabupa.com/pages/doc/pub-dis/annual-reports/Annual-Report-FY-2023-24.pdf</t>
        </is>
      </c>
      <c r="E8" t="inlineStr">
        <is>
          <t>FY24</t>
        </is>
      </c>
      <c r="F8" t="inlineStr">
        <is>
          <t>Financial</t>
        </is>
      </c>
      <c r="G8" t="inlineStr">
        <is>
          <t>₹5,499Cr GWP, 41% growth</t>
        </is>
      </c>
    </row>
    <row r="9">
      <c r="A9" t="inlineStr">
        <is>
          <t>S06</t>
        </is>
      </c>
      <c r="B9" t="inlineStr">
        <is>
          <t>Star Health Annual Report FY24</t>
        </is>
      </c>
      <c r="C9" t="inlineStr">
        <is>
          <t>Star Health &amp; Allied</t>
        </is>
      </c>
      <c r="D9" s="17" t="inlineStr">
        <is>
          <t>https://www.starhealth.in/investors/annual-report/</t>
        </is>
      </c>
      <c r="E9" t="inlineStr">
        <is>
          <t>FY24</t>
        </is>
      </c>
      <c r="F9" t="inlineStr">
        <is>
          <t>Financial</t>
        </is>
      </c>
      <c r="G9" t="inlineStr">
        <is>
          <t>₹15,254Cr, 66.5% claims</t>
        </is>
      </c>
    </row>
    <row r="10">
      <c r="A10" t="inlineStr">
        <is>
          <t>S07</t>
        </is>
      </c>
      <c r="B10" t="inlineStr">
        <is>
          <t>ICICI Lombard Annual Report FY24</t>
        </is>
      </c>
      <c r="C10" t="inlineStr">
        <is>
          <t>ICICI Lombard GIC</t>
        </is>
      </c>
      <c r="D10" s="17" t="inlineStr">
        <is>
          <t>https://www.icicilombard.com/docs/default-source/financial-information/annualreport2024.pdf</t>
        </is>
      </c>
      <c r="E10" t="inlineStr">
        <is>
          <t>FY24</t>
        </is>
      </c>
      <c r="F10" t="inlineStr">
        <is>
          <t>Full</t>
        </is>
      </c>
      <c r="G10" t="inlineStr">
        <is>
          <t>₹24,776Cr, 2.9% retail</t>
        </is>
      </c>
    </row>
    <row r="11">
      <c r="A11" t="inlineStr">
        <is>
          <t>S08</t>
        </is>
      </c>
      <c r="B11" t="inlineStr">
        <is>
          <t>Go Digit DRHP</t>
        </is>
      </c>
      <c r="C11" t="inlineStr">
        <is>
          <t>Go Digit General Insurance</t>
        </is>
      </c>
      <c r="D11" s="17" t="inlineStr">
        <is>
          <t>https://www.godigit.com/investor-relations</t>
        </is>
      </c>
      <c r="E11" t="inlineStr">
        <is>
          <t>2024</t>
        </is>
      </c>
      <c r="F11" t="inlineStr">
        <is>
          <t>Industry</t>
        </is>
      </c>
      <c r="G11" t="inlineStr">
        <is>
          <t>Digital insurance metrics</t>
        </is>
      </c>
    </row>
    <row r="12">
      <c r="A12" t="inlineStr">
        <is>
          <t>S09</t>
        </is>
      </c>
      <c r="B12" t="inlineStr">
        <is>
          <t>Care Health Annual Report</t>
        </is>
      </c>
      <c r="C12" t="inlineStr">
        <is>
          <t>Care Health Insurance</t>
        </is>
      </c>
      <c r="D12" s="17" t="inlineStr">
        <is>
          <t>https://www.careinsurance.com/investor-relations</t>
        </is>
      </c>
      <c r="E12" t="inlineStr">
        <is>
          <t>FY24</t>
        </is>
      </c>
      <c r="F12" t="inlineStr">
        <is>
          <t>Financial</t>
        </is>
      </c>
      <c r="G12" t="inlineStr">
        <is>
          <t>₹4,500Cr, 100% CSR</t>
        </is>
      </c>
    </row>
    <row r="13">
      <c r="A13" t="inlineStr">
        <is>
          <t>S10</t>
        </is>
      </c>
      <c r="B13" t="inlineStr">
        <is>
          <t>Aditya Birla Health Report</t>
        </is>
      </c>
      <c r="C13" t="inlineStr">
        <is>
          <t>ABHI</t>
        </is>
      </c>
      <c r="D13" s="17" t="inlineStr">
        <is>
          <t>https://www.adityabirlacapital.com/healthinsurance/</t>
        </is>
      </c>
      <c r="E13" t="inlineStr">
        <is>
          <t>FY24</t>
        </is>
      </c>
      <c r="F13" t="inlineStr">
        <is>
          <t>Financial</t>
        </is>
      </c>
      <c r="G13" t="inlineStr">
        <is>
          <t>₹3,290Cr, 48% CAGR</t>
        </is>
      </c>
    </row>
    <row r="14">
      <c r="A14" t="inlineStr">
        <is>
          <t>S11</t>
        </is>
      </c>
      <c r="B14" t="inlineStr">
        <is>
          <t>HDFC ERGO Annual Report</t>
        </is>
      </c>
      <c r="C14" t="inlineStr">
        <is>
          <t>HDFC ERGO GIC</t>
        </is>
      </c>
      <c r="D14" s="17" t="inlineStr">
        <is>
          <t>https://www.hdfcergo.com/about-us/financial/annual-reports</t>
        </is>
      </c>
      <c r="E14" t="inlineStr">
        <is>
          <t>FY24</t>
        </is>
      </c>
      <c r="F14" t="inlineStr">
        <is>
          <t>Financial</t>
        </is>
      </c>
      <c r="G14" t="inlineStr">
        <is>
          <t>₹9,000Cr estimated</t>
        </is>
      </c>
    </row>
    <row r="15">
      <c r="A15" t="inlineStr">
        <is>
          <t>S12</t>
        </is>
      </c>
      <c r="B15" t="inlineStr">
        <is>
          <t>Bajaj Allianz GIC Report</t>
        </is>
      </c>
      <c r="C15" t="inlineStr">
        <is>
          <t>Bajaj Allianz</t>
        </is>
      </c>
      <c r="D15" s="17" t="inlineStr">
        <is>
          <t>https://www.bajajallianz.com/about-us/investor-relation.html</t>
        </is>
      </c>
      <c r="E15" t="inlineStr">
        <is>
          <t>FY24</t>
        </is>
      </c>
      <c r="F15" t="inlineStr">
        <is>
          <t>Financial</t>
        </is>
      </c>
      <c r="G15" t="inlineStr">
        <is>
          <t>₹22,000Cr, 7.7% share</t>
        </is>
      </c>
    </row>
    <row r="16">
      <c r="A16" t="inlineStr">
        <is>
          <t>S13</t>
        </is>
      </c>
      <c r="B16" t="inlineStr">
        <is>
          <t>TRAI Telecom Reports</t>
        </is>
      </c>
      <c r="C16" t="inlineStr">
        <is>
          <t>TRAI</t>
        </is>
      </c>
      <c r="D16" s="17" t="inlineStr">
        <is>
          <t>https://www.trai.gov.in/release-publication/reports</t>
        </is>
      </c>
      <c r="E16" t="inlineStr">
        <is>
          <t>2024</t>
        </is>
      </c>
      <c r="F16" t="inlineStr">
        <is>
          <t>Subscriptions</t>
        </is>
      </c>
      <c r="G16" t="inlineStr">
        <is>
          <t>900M internet users</t>
        </is>
      </c>
    </row>
    <row r="17">
      <c r="A17" t="inlineStr">
        <is>
          <t>S14</t>
        </is>
      </c>
      <c r="B17" t="inlineStr">
        <is>
          <t>Census India Projections</t>
        </is>
      </c>
      <c r="C17" t="inlineStr">
        <is>
          <t>Registrar General</t>
        </is>
      </c>
      <c r="D17" s="17" t="inlineStr">
        <is>
          <t>https://censusindia.gov.in/</t>
        </is>
      </c>
      <c r="E17" t="inlineStr">
        <is>
          <t>2011+Proj</t>
        </is>
      </c>
      <c r="F17" t="inlineStr">
        <is>
          <t>Demographics</t>
        </is>
      </c>
      <c r="G17" t="inlineStr">
        <is>
          <t>1.44B population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2026-01-15T07:50:06Z</dcterms:created>
  <dcterms:modified xsi:type="dcterms:W3CDTF">2026-01-15T07:50:06Z</dcterms:modified>
</cp:coreProperties>
</file>