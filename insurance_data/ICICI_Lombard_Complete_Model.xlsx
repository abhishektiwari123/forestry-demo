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ashboard" sheetId="1" state="visible" r:id="rId1"/>
    <sheet name="2_Sources" sheetId="2" state="visible" r:id="rId2"/>
    <sheet name="3_TAM_SAM_SOM" sheetId="3" state="visible" r:id="rId3"/>
    <sheet name="4_CBDT_Income" sheetId="4" state="visible" r:id="rId4"/>
    <sheet name="5_Competitors" sheetId="5" state="visible" r:id="rId5"/>
    <sheet name="6_LTV_CAC_Model" sheetId="6" state="visible" r:id="rId6"/>
    <sheet name="7_Projections" sheetId="7" state="visible" r:id="rId7"/>
    <sheet name="8_150_Segments" sheetId="8" state="visible" r:id="rId8"/>
    <sheet name="9_IRDAI_Data" sheetId="9" state="visible" r:id="rId9"/>
    <sheet name="10_GI_Counc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0"/>
    </font>
    <font/>
    <font>
      <b val="1"/>
      <color rgb="00000000"/>
      <sz val="11"/>
    </font>
    <font>
      <b val="1"/>
      <color rgb="00006100"/>
      <sz val="12"/>
    </font>
    <font>
      <b val="1"/>
      <color rgb="009C5700"/>
      <sz val="12"/>
    </font>
    <font>
      <b val="1"/>
      <color rgb="00FFFFFF"/>
      <sz val="16"/>
    </font>
    <font>
      <i val="1"/>
      <color rgb="00666666"/>
      <sz val="10"/>
    </font>
    <font>
      <i val="1"/>
      <color rgb="000563C1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0" borderId="1" applyAlignment="1">
      <alignment vertical="center" wrapText="1"/>
    </xf>
    <xf numFmtId="164" fontId="3" fillId="0" borderId="1" applyAlignment="1">
      <alignment horizontal="right" vertical="center"/>
    </xf>
    <xf numFmtId="165" fontId="3" fillId="0" borderId="1" applyAlignment="1">
      <alignment horizontal="right" vertical="center"/>
    </xf>
    <xf numFmtId="0" fontId="4" fillId="4" borderId="2" applyAlignment="1">
      <alignment horizontal="center" vertical="center"/>
    </xf>
    <xf numFmtId="0" fontId="5" fillId="5" borderId="2" applyAlignment="1">
      <alignment horizontal="center" vertical="center"/>
    </xf>
    <xf numFmtId="0" fontId="6" fillId="4" borderId="2" applyAlignment="1">
      <alignment horizontal="center" vertical="center"/>
    </xf>
  </cellStyleXfs>
  <cellXfs count="10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3" borderId="1" applyAlignment="1" pivotButton="0" quotePrefix="0" xfId="2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" fillId="2" borderId="1" applyAlignment="1" pivotButton="0" quotePrefix="0" xfId="1">
      <alignment horizontal="center" vertical="center" wrapText="1"/>
    </xf>
    <xf numFmtId="0" fontId="3" fillId="0" borderId="1" applyAlignment="1" pivotButton="0" quotePrefix="0" xfId="3">
      <alignment vertical="center" wrapText="1"/>
    </xf>
    <xf numFmtId="0" fontId="9" fillId="0" borderId="0" pivotButton="0" quotePrefix="0" xfId="0"/>
    <xf numFmtId="0" fontId="4" fillId="4" borderId="2" applyAlignment="1" pivotButton="0" quotePrefix="0" xfId="6">
      <alignment horizontal="center" vertical="center"/>
    </xf>
  </cellXfs>
  <cellStyles count="9">
    <cellStyle name="Normal" xfId="0" builtinId="0" hidden="0"/>
    <cellStyle name="header_style" xfId="1" hidden="0"/>
    <cellStyle name="subheader_style" xfId="2" hidden="0"/>
    <cellStyle name="data_style" xfId="3" hidden="0"/>
    <cellStyle name="currency_style" xfId="4" hidden="0"/>
    <cellStyle name="percent_style" xfId="5" hidden="0"/>
    <cellStyle name="highlight_style" xfId="6" hidden="0"/>
    <cellStyle name="kpi_good" xfId="7" hidden="0"/>
    <cellStyle name="kpi_warning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8" customWidth="1" min="4" max="4"/>
    <col width="5" customWidth="1" min="5" max="5"/>
    <col width="18" customWidth="1" min="6" max="6"/>
    <col width="15" customWidth="1" min="7" max="7"/>
    <col width="12" customWidth="1" min="8" max="8"/>
    <col width="15" customWidth="1" min="9" max="9"/>
    <col width="15" customWidth="1" min="10" max="10"/>
    <col width="12" customWidth="1" min="11" max="11"/>
    <col width="15" customWidth="1" min="12" max="12"/>
  </cols>
  <sheetData>
    <row r="1">
      <c r="A1" s="1" t="inlineStr">
        <is>
          <t>ICICI LOMBARD D2C HEALTH INSURANCE - OPPORTUNITY MODEL</t>
        </is>
      </c>
    </row>
    <row r="2">
      <c r="A2" s="2" t="inlineStr">
        <is>
          <t>TAM → SAM → SOM Analysis with 150 Sub-segments | Data as of January 2025</t>
        </is>
      </c>
    </row>
    <row r="4">
      <c r="A4" s="3" t="inlineStr">
        <is>
          <t>MARKET SIZE WATERFALL</t>
        </is>
      </c>
      <c r="B4" s="4" t="n"/>
      <c r="C4" s="4" t="n"/>
      <c r="D4" s="5" t="n"/>
      <c r="F4" s="3" t="inlineStr">
        <is>
          <t>KEY PERFORMANCE INDICATORS</t>
        </is>
      </c>
      <c r="G4" s="4" t="n"/>
      <c r="H4" s="4" t="n"/>
      <c r="I4" s="5" t="n"/>
    </row>
    <row r="5">
      <c r="A5" s="6" t="inlineStr">
        <is>
          <t>Stage</t>
        </is>
      </c>
      <c r="B5" s="6" t="inlineStr">
        <is>
          <t>Value (₹ Cr)</t>
        </is>
      </c>
      <c r="C5" s="6" t="inlineStr">
        <is>
          <t>Filter Applied</t>
        </is>
      </c>
      <c r="D5" s="6" t="inlineStr">
        <is>
          <t>Source</t>
        </is>
      </c>
      <c r="F5" s="6" t="inlineStr">
        <is>
          <t>KPI</t>
        </is>
      </c>
      <c r="G5" s="6" t="inlineStr">
        <is>
          <t>Current</t>
        </is>
      </c>
      <c r="H5" s="6" t="inlineStr">
        <is>
          <t>Target</t>
        </is>
      </c>
      <c r="I5" s="6" t="inlineStr">
        <is>
          <t>Gap</t>
        </is>
      </c>
    </row>
    <row r="6">
      <c r="A6" s="7" t="inlineStr">
        <is>
          <t>TAM: Total Health Insurance</t>
        </is>
      </c>
      <c r="B6" s="7" t="n">
        <v>117000</v>
      </c>
      <c r="C6" s="7" t="inlineStr">
        <is>
          <t>All health insurance in India</t>
        </is>
      </c>
      <c r="D6" s="7" t="inlineStr">
        <is>
          <t>IRDAI AR 2023-24</t>
        </is>
      </c>
      <c r="F6" s="7" t="inlineStr">
        <is>
          <t>Retail Health Share</t>
        </is>
      </c>
      <c r="G6" s="7" t="inlineStr">
        <is>
          <t>2.9%</t>
        </is>
      </c>
      <c r="H6" s="7" t="inlineStr">
        <is>
          <t>10%</t>
        </is>
      </c>
      <c r="I6" s="7">
        <f>H6-G6</f>
        <v/>
      </c>
    </row>
    <row r="7">
      <c r="A7" s="7" t="inlineStr">
        <is>
          <t>Filter: Retail Only (38.7%)</t>
        </is>
      </c>
      <c r="B7" s="7">
        <f>B6*0.387</f>
        <v/>
      </c>
      <c r="C7" s="7">
        <f>B6*0.387</f>
        <v/>
      </c>
      <c r="D7" s="7" t="inlineStr">
        <is>
          <t>Niva Bupa DRHP</t>
        </is>
      </c>
      <c r="F7" s="7" t="inlineStr">
        <is>
          <t>Digital Channel Share</t>
        </is>
      </c>
      <c r="G7" s="7" t="inlineStr">
        <is>
          <t>17.4%</t>
        </is>
      </c>
      <c r="H7" s="7" t="inlineStr">
        <is>
          <t>35%</t>
        </is>
      </c>
      <c r="I7" s="7">
        <f>H7-G7</f>
        <v/>
      </c>
    </row>
    <row r="8">
      <c r="A8" s="7" t="inlineStr">
        <is>
          <t>SAM: Digital Addressable (60%)</t>
        </is>
      </c>
      <c r="B8" s="7">
        <f>B7*0.6</f>
        <v/>
      </c>
      <c r="C8" s="7">
        <f>B7*0.6</f>
        <v/>
      </c>
      <c r="D8" s="7" t="inlineStr">
        <is>
          <t>Industry Est - Urban digital</t>
        </is>
      </c>
      <c r="F8" s="7" t="inlineStr">
        <is>
          <t>Combined Ratio</t>
        </is>
      </c>
      <c r="G8" s="7" t="inlineStr">
        <is>
          <t>103.8%</t>
        </is>
      </c>
      <c r="H8" s="7" t="inlineStr">
        <is>
          <t>95%</t>
        </is>
      </c>
      <c r="I8" s="7">
        <f>G8-H8</f>
        <v/>
      </c>
    </row>
    <row r="9">
      <c r="A9" s="7" t="inlineStr">
        <is>
          <t>Filter: Target Income &gt;5L (35%)</t>
        </is>
      </c>
      <c r="B9" s="7">
        <f>B8*0.35</f>
        <v/>
      </c>
      <c r="C9" s="7">
        <f>B8*0.35</f>
        <v/>
      </c>
      <c r="D9" s="7" t="inlineStr">
        <is>
          <t>CBDT ITR AY23-24</t>
        </is>
      </c>
      <c r="F9" s="7" t="inlineStr">
        <is>
          <t>Claims Ratio</t>
        </is>
      </c>
      <c r="G9" s="7" t="inlineStr">
        <is>
          <t>76.5%</t>
        </is>
      </c>
      <c r="H9" s="7" t="inlineStr">
        <is>
          <t>65%</t>
        </is>
      </c>
      <c r="I9" s="7">
        <f>G9-H9</f>
        <v/>
      </c>
    </row>
    <row r="10">
      <c r="A10" s="7" t="inlineStr">
        <is>
          <t>SOM: Realistic Capture (15%)</t>
        </is>
      </c>
      <c r="B10" s="7">
        <f>B9*0.15</f>
        <v/>
      </c>
      <c r="C10" s="7">
        <f>B9*0.15</f>
        <v/>
      </c>
      <c r="D10" s="7" t="inlineStr">
        <is>
          <t>5-year target</t>
        </is>
      </c>
      <c r="F10" s="7" t="inlineStr">
        <is>
          <t>Renewal Rate</t>
        </is>
      </c>
      <c r="G10" s="7" t="inlineStr">
        <is>
          <t>80%</t>
        </is>
      </c>
      <c r="H10" s="7" t="inlineStr">
        <is>
          <t>90%</t>
        </is>
      </c>
      <c r="I10" s="7">
        <f>H10-G10</f>
        <v/>
      </c>
    </row>
    <row r="12">
      <c r="A12" s="3" t="inlineStr">
        <is>
          <t>UNIT ECONOMICS - LTV/CAC MODEL</t>
        </is>
      </c>
      <c r="B12" s="4" t="n"/>
      <c r="C12" s="4" t="n"/>
      <c r="D12" s="5" t="n"/>
      <c r="F12" s="3" t="inlineStr">
        <is>
          <t>COMPETITOR BENCHMARK</t>
        </is>
      </c>
      <c r="G12" s="4" t="n"/>
      <c r="H12" s="4" t="n"/>
      <c r="I12" s="4" t="n"/>
      <c r="J12" s="5" t="n"/>
    </row>
    <row r="13">
      <c r="A13" s="6" t="inlineStr">
        <is>
          <t>Metric</t>
        </is>
      </c>
      <c r="B13" s="6" t="inlineStr">
        <is>
          <t>Value</t>
        </is>
      </c>
      <c r="C13" s="6" t="inlineStr">
        <is>
          <t>Formula</t>
        </is>
      </c>
      <c r="D13" s="6" t="inlineStr">
        <is>
          <t>Source</t>
        </is>
      </c>
      <c r="F13" s="6" t="inlineStr">
        <is>
          <t>Insurer</t>
        </is>
      </c>
      <c r="G13" s="6" t="inlineStr">
        <is>
          <t>Health GWP (Cr)</t>
        </is>
      </c>
      <c r="H13" s="6" t="inlineStr">
        <is>
          <t>Market Share</t>
        </is>
      </c>
      <c r="I13" s="6" t="inlineStr">
        <is>
          <t>Claims Ratio</t>
        </is>
      </c>
      <c r="J13" s="6" t="inlineStr">
        <is>
          <t>Growth</t>
        </is>
      </c>
    </row>
    <row r="14">
      <c r="A14" s="7" t="inlineStr">
        <is>
          <t>Avg Annual Premium</t>
        </is>
      </c>
      <c r="B14" s="7" t="n">
        <v>15000</v>
      </c>
      <c r="C14" s="7" t="inlineStr">
        <is>
          <t>Industry average</t>
        </is>
      </c>
      <c r="D14" s="7" t="inlineStr">
        <is>
          <t>IRDAI/Niva Bupa</t>
        </is>
      </c>
      <c r="F14" s="7" t="inlineStr">
        <is>
          <t>Star Health</t>
        </is>
      </c>
      <c r="G14" s="7" t="n">
        <v>15254</v>
      </c>
      <c r="H14" s="7" t="inlineStr">
        <is>
          <t>33%</t>
        </is>
      </c>
      <c r="I14" s="7" t="inlineStr">
        <is>
          <t>66.5%</t>
        </is>
      </c>
      <c r="J14" s="7" t="inlineStr">
        <is>
          <t>22.3%</t>
        </is>
      </c>
    </row>
    <row r="15">
      <c r="A15" s="7" t="inlineStr">
        <is>
          <t>Avg Policy Life (years)</t>
        </is>
      </c>
      <c r="B15" s="7" t="n">
        <v>5</v>
      </c>
      <c r="C15" s="7" t="inlineStr">
        <is>
          <t>Retention based</t>
        </is>
      </c>
      <c r="D15" s="7" t="inlineStr">
        <is>
          <t>Industry benchmark</t>
        </is>
      </c>
      <c r="F15" s="7" t="inlineStr">
        <is>
          <t>Niva Bupa</t>
        </is>
      </c>
      <c r="G15" s="7" t="n">
        <v>5499</v>
      </c>
      <c r="H15" s="7" t="inlineStr">
        <is>
          <t>16.2%</t>
        </is>
      </c>
      <c r="I15" s="7" t="inlineStr">
        <is>
          <t>70%</t>
        </is>
      </c>
      <c r="J15" s="7" t="inlineStr">
        <is>
          <t>41%</t>
        </is>
      </c>
    </row>
    <row r="16">
      <c r="A16" s="7" t="inlineStr">
        <is>
          <t>Gross Margin %</t>
        </is>
      </c>
      <c r="B16" s="7" t="inlineStr">
        <is>
          <t>35%</t>
        </is>
      </c>
      <c r="C16" s="7" t="inlineStr">
        <is>
          <t>1 - Claims Ratio - Expense</t>
        </is>
      </c>
      <c r="D16" s="7" t="inlineStr">
        <is>
          <t>IRDAI AR</t>
        </is>
      </c>
      <c r="F16" s="7" t="inlineStr">
        <is>
          <t>Care Health</t>
        </is>
      </c>
      <c r="G16" s="7" t="n">
        <v>4500</v>
      </c>
      <c r="H16" s="7" t="inlineStr">
        <is>
          <t>14%</t>
        </is>
      </c>
      <c r="I16" s="7" t="inlineStr">
        <is>
          <t>68%</t>
        </is>
      </c>
      <c r="J16" s="7" t="inlineStr">
        <is>
          <t>20%</t>
        </is>
      </c>
    </row>
    <row r="17">
      <c r="A17" s="7" t="inlineStr">
        <is>
          <t>Customer Lifetime Value (LTV)</t>
        </is>
      </c>
      <c r="B17" s="7">
        <f>B14*B15*0.35</f>
        <v/>
      </c>
      <c r="C17" s="7" t="inlineStr">
        <is>
          <t>Premium × Years × Margin</t>
        </is>
      </c>
      <c r="D17" s="7" t="inlineStr">
        <is>
          <t>Calculated</t>
        </is>
      </c>
      <c r="F17" s="7" t="inlineStr">
        <is>
          <t>ICICI Lombard</t>
        </is>
      </c>
      <c r="G17" s="7" t="n">
        <v>2800</v>
      </c>
      <c r="H17" s="7" t="inlineStr">
        <is>
          <t>2.9%</t>
        </is>
      </c>
      <c r="I17" s="7" t="inlineStr">
        <is>
          <t>76.5%</t>
        </is>
      </c>
      <c r="J17" s="7" t="inlineStr">
        <is>
          <t>15%</t>
        </is>
      </c>
    </row>
    <row r="18">
      <c r="A18" s="7" t="inlineStr">
        <is>
          <t>Customer Acquisition Cost (CAC)</t>
        </is>
      </c>
      <c r="B18" s="7" t="n">
        <v>3500</v>
      </c>
      <c r="C18" s="7" t="inlineStr">
        <is>
          <t>Digital channel avg</t>
        </is>
      </c>
      <c r="D18" s="7" t="inlineStr">
        <is>
          <t>Industry Est</t>
        </is>
      </c>
      <c r="F18" s="7" t="inlineStr">
        <is>
          <t>Aditya Birla</t>
        </is>
      </c>
      <c r="G18" s="7" t="n">
        <v>3290</v>
      </c>
      <c r="H18" s="7" t="inlineStr">
        <is>
          <t>10%</t>
        </is>
      </c>
      <c r="I18" s="7" t="inlineStr">
        <is>
          <t>72%</t>
        </is>
      </c>
      <c r="J18" s="7" t="inlineStr">
        <is>
          <t>48%</t>
        </is>
      </c>
    </row>
    <row r="19">
      <c r="A19" s="7" t="inlineStr">
        <is>
          <t>LTV:CAC Ratio</t>
        </is>
      </c>
      <c r="B19" s="7">
        <f>B17/B18</f>
        <v/>
      </c>
      <c r="C19" s="7" t="inlineStr">
        <is>
          <t>Target &gt;3:1</t>
        </is>
      </c>
      <c r="D19" s="7" t="inlineStr">
        <is>
          <t>Calculated</t>
        </is>
      </c>
    </row>
    <row r="20">
      <c r="A20" s="7" t="inlineStr">
        <is>
          <t>Payback Period (months)</t>
        </is>
      </c>
      <c r="B20" s="7">
        <f>B18/(B14*0.35/12)</f>
        <v/>
      </c>
      <c r="C20" s="7" t="inlineStr">
        <is>
          <t>CAC / Monthly Margin</t>
        </is>
      </c>
      <c r="D20" s="7" t="inlineStr">
        <is>
          <t>Calculated</t>
        </is>
      </c>
    </row>
    <row r="22">
      <c r="A22" s="3" t="inlineStr">
        <is>
          <t>5-YEAR D2C REVENUE PROJECTION</t>
        </is>
      </c>
      <c r="B22" s="4" t="n"/>
      <c r="C22" s="4" t="n"/>
      <c r="D22" s="4" t="n"/>
      <c r="E22" s="4" t="n"/>
      <c r="F22" s="4" t="n"/>
      <c r="G22" s="5" t="n"/>
      <c r="I22" s="3" t="inlineStr">
        <is>
          <t>PRIMARY DATA SOURCES</t>
        </is>
      </c>
      <c r="J22" s="4" t="n"/>
      <c r="K22" s="4" t="n"/>
      <c r="L22" s="5" t="n"/>
    </row>
    <row r="23">
      <c r="A23" s="6" t="inlineStr">
        <is>
          <t>Metric</t>
        </is>
      </c>
      <c r="B23" s="6" t="inlineStr">
        <is>
          <t>Year 1</t>
        </is>
      </c>
      <c r="C23" s="6" t="inlineStr">
        <is>
          <t>Year 2</t>
        </is>
      </c>
      <c r="D23" s="6" t="inlineStr">
        <is>
          <t>Year 3</t>
        </is>
      </c>
      <c r="E23" s="6" t="inlineStr">
        <is>
          <t>Year 4</t>
        </is>
      </c>
      <c r="F23" s="6" t="inlineStr">
        <is>
          <t>Year 5</t>
        </is>
      </c>
      <c r="G23" s="6" t="inlineStr">
        <is>
          <t>CAGR</t>
        </is>
      </c>
      <c r="I23" s="6" t="inlineStr">
        <is>
          <t>Source</t>
        </is>
      </c>
      <c r="J23" s="6" t="inlineStr">
        <is>
          <t>Publisher</t>
        </is>
      </c>
      <c r="K23" s="6" t="inlineStr">
        <is>
          <t>Date</t>
        </is>
      </c>
      <c r="L23" s="6" t="inlineStr">
        <is>
          <t>Key Data</t>
        </is>
      </c>
    </row>
    <row r="24">
      <c r="A24" s="7" t="inlineStr">
        <is>
          <t>New Customers (000s)</t>
        </is>
      </c>
      <c r="B24" s="7" t="n">
        <v>50</v>
      </c>
      <c r="C24" s="7">
        <f>B24*1.4</f>
        <v/>
      </c>
      <c r="D24" s="7">
        <f>C24*1.35</f>
        <v/>
      </c>
      <c r="E24" s="7">
        <f>D24*1.3</f>
        <v/>
      </c>
      <c r="F24" s="7">
        <f>E24*1.25</f>
        <v/>
      </c>
      <c r="G24" s="7">
        <f>(F24/B24)^(1/4)-1</f>
        <v/>
      </c>
      <c r="I24" s="7" t="inlineStr">
        <is>
          <t>CBDT ITR AY23-24</t>
        </is>
      </c>
      <c r="J24" s="7" t="inlineStr">
        <is>
          <t>Income Tax Dept</t>
        </is>
      </c>
      <c r="K24" s="7" t="inlineStr">
        <is>
          <t>Jun 2024</t>
        </is>
      </c>
      <c r="L24" s="7" t="inlineStr">
        <is>
          <t>7.97Cr filers</t>
        </is>
      </c>
    </row>
    <row r="25">
      <c r="A25" s="7" t="inlineStr">
        <is>
          <t>Cumulative Customers (000s)</t>
        </is>
      </c>
      <c r="B25" s="7">
        <f>B24</f>
        <v/>
      </c>
      <c r="C25" s="7">
        <f>B25*0.85+C24</f>
        <v/>
      </c>
      <c r="D25" s="7">
        <f>C25*0.85+D24</f>
        <v/>
      </c>
      <c r="E25" s="7">
        <f>D25*0.87+E24</f>
        <v/>
      </c>
      <c r="F25" s="7">
        <f>E25*0.88+F24</f>
        <v/>
      </c>
      <c r="G25" s="7">
        <f>(F25/B25)^(1/4)-1</f>
        <v/>
      </c>
      <c r="I25" s="7" t="inlineStr">
        <is>
          <t>IRDAI AR 2023-24</t>
        </is>
      </c>
      <c r="J25" s="7" t="inlineStr">
        <is>
          <t>IRDAI</t>
        </is>
      </c>
      <c r="K25" s="7" t="inlineStr">
        <is>
          <t>Dec 2024</t>
        </is>
      </c>
      <c r="L25" s="7" t="inlineStr">
        <is>
          <t>₹11.19T premium</t>
        </is>
      </c>
    </row>
    <row r="26">
      <c r="A26" s="7" t="inlineStr">
        <is>
          <t>GWP (₹ Cr)</t>
        </is>
      </c>
      <c r="B26" s="7">
        <f>B25*15000/10000000</f>
        <v/>
      </c>
      <c r="C26" s="7">
        <f>C25*16500/10000000</f>
        <v/>
      </c>
      <c r="D26" s="7">
        <f>D25*18000/10000000</f>
        <v/>
      </c>
      <c r="E26" s="7">
        <f>E25*19500/10000000</f>
        <v/>
      </c>
      <c r="F26" s="7">
        <f>F25*21000/10000000</f>
        <v/>
      </c>
      <c r="G26" s="7">
        <f>(F26/B26)^(1/4)-1</f>
        <v/>
      </c>
      <c r="I26" s="7" t="inlineStr">
        <is>
          <t>GI Council YB 23-24</t>
        </is>
      </c>
      <c r="J26" s="7" t="inlineStr">
        <is>
          <t>GI Council</t>
        </is>
      </c>
      <c r="K26" s="7" t="inlineStr">
        <is>
          <t>Feb 2025</t>
        </is>
      </c>
      <c r="L26" s="7" t="inlineStr">
        <is>
          <t>₹2.90T GDPI</t>
        </is>
      </c>
    </row>
    <row r="27">
      <c r="A27" s="7" t="inlineStr">
        <is>
          <t>Net Revenue (₹ Cr)</t>
        </is>
      </c>
      <c r="B27" s="7">
        <f>B26*0.30</f>
        <v/>
      </c>
      <c r="C27" s="7">
        <f>C26*0.32</f>
        <v/>
      </c>
      <c r="D27" s="7">
        <f>D26*0.33</f>
        <v/>
      </c>
      <c r="E27" s="7">
        <f>E26*0.34</f>
        <v/>
      </c>
      <c r="F27" s="7">
        <f>F26*0.35</f>
        <v/>
      </c>
      <c r="G27" s="7">
        <f>(F27/B27)^(1/4)-1</f>
        <v/>
      </c>
      <c r="I27" s="7" t="inlineStr">
        <is>
          <t>Niva Bupa DRHP</t>
        </is>
      </c>
      <c r="J27" s="7" t="inlineStr">
        <is>
          <t>Niva Bupa</t>
        </is>
      </c>
      <c r="K27" s="7" t="inlineStr">
        <is>
          <t>Jun 2024</t>
        </is>
      </c>
      <c r="L27" s="7" t="inlineStr">
        <is>
          <t>Market segments</t>
        </is>
      </c>
    </row>
    <row r="28">
      <c r="A28" s="7" t="inlineStr">
        <is>
          <t>Contribution Margin (₹ Cr)</t>
        </is>
      </c>
      <c r="B28" s="7">
        <f>B27-B24*3500/10000000</f>
        <v/>
      </c>
      <c r="C28" s="7">
        <f>C27-C24*3200/10000000</f>
        <v/>
      </c>
      <c r="D28" s="7">
        <f>D27-D24*3000/10000000</f>
        <v/>
      </c>
      <c r="E28" s="7">
        <f>E27-E24*2800/10000000</f>
        <v/>
      </c>
      <c r="F28" s="7">
        <f>F27-F24*2600/10000000</f>
        <v/>
      </c>
      <c r="G28" s="7">
        <f>(F28/B28)^(1/4)-1</f>
        <v/>
      </c>
      <c r="I28" s="7" t="inlineStr">
        <is>
          <t>Star Health AR</t>
        </is>
      </c>
      <c r="J28" s="7" t="inlineStr">
        <is>
          <t>Star Health</t>
        </is>
      </c>
      <c r="K28" s="7" t="inlineStr">
        <is>
          <t>FY24</t>
        </is>
      </c>
      <c r="L28" s="7" t="inlineStr">
        <is>
          <t>SAHI leader</t>
        </is>
      </c>
    </row>
  </sheetData>
  <mergeCells count="8">
    <mergeCell ref="I22:L22"/>
    <mergeCell ref="A2:L2"/>
    <mergeCell ref="F12:J12"/>
    <mergeCell ref="A12:D12"/>
    <mergeCell ref="A4:D4"/>
    <mergeCell ref="F4:I4"/>
    <mergeCell ref="A1:L1"/>
    <mergeCell ref="A22:G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50" customWidth="1" min="4" max="4"/>
    <col width="15" customWidth="1" min="5" max="5"/>
    <col width="12" customWidth="1" min="6" max="6"/>
    <col width="12" customWidth="1" min="7" max="7"/>
    <col width="25" customWidth="1" min="8" max="8"/>
    <col width="10" customWidth="1" min="9" max="9"/>
  </cols>
  <sheetData>
    <row r="1">
      <c r="A1" s="6" t="inlineStr">
        <is>
          <t>ID</t>
        </is>
      </c>
      <c r="B1" s="6" t="inlineStr">
        <is>
          <t>Document</t>
        </is>
      </c>
      <c r="C1" s="6" t="inlineStr">
        <is>
          <t>Publisher</t>
        </is>
      </c>
      <c r="D1" s="6" t="inlineStr">
        <is>
          <t>URL</t>
        </is>
      </c>
      <c r="E1" s="6" t="inlineStr">
        <is>
          <t>Version</t>
        </is>
      </c>
      <c r="F1" s="6" t="inlineStr">
        <is>
          <t>Pages</t>
        </is>
      </c>
      <c r="G1" s="6" t="inlineStr">
        <is>
          <t>Access Date</t>
        </is>
      </c>
      <c r="H1" s="6" t="inlineStr">
        <is>
          <t>Key Metrics</t>
        </is>
      </c>
      <c r="I1" s="6" t="inlineStr">
        <is>
          <t>Status</t>
        </is>
      </c>
    </row>
    <row r="2">
      <c r="A2" s="7" t="inlineStr">
        <is>
          <t>S01</t>
        </is>
      </c>
      <c r="B2" s="7" t="inlineStr">
        <is>
          <t>ITR Statistics AY 2023-24</t>
        </is>
      </c>
      <c r="C2" s="7" t="inlineStr">
        <is>
          <t>CBDT, Ministry of Finance</t>
        </is>
      </c>
      <c r="D2" s="7" t="inlineStr">
        <is>
          <t>https://incometaxindia.gov.in/Documents/Direct%20Tax%20Data/Approved-version-Income-Tax-Return-Statistics-for-the-AY-2023-24.pdf</t>
        </is>
      </c>
      <c r="E2" s="7" t="inlineStr">
        <is>
          <t>v1.0, Jun 2024</t>
        </is>
      </c>
      <c r="F2" s="7" t="inlineStr">
        <is>
          <t>6, 9, 10</t>
        </is>
      </c>
      <c r="G2" s="7" t="inlineStr">
        <is>
          <t>2025-01-15</t>
        </is>
      </c>
      <c r="H2" s="7" t="inlineStr">
        <is>
          <t>ITR filers by income slab</t>
        </is>
      </c>
      <c r="I2" s="7" t="inlineStr">
        <is>
          <t>PRIMARY</t>
        </is>
      </c>
    </row>
    <row r="3">
      <c r="A3" s="7" t="inlineStr">
        <is>
          <t>S02</t>
        </is>
      </c>
      <c r="B3" s="7" t="inlineStr">
        <is>
          <t>IRDAI Annual Report 2023-24</t>
        </is>
      </c>
      <c r="C3" s="7" t="inlineStr">
        <is>
          <t>IRDAI</t>
        </is>
      </c>
      <c r="D3" s="7" t="inlineStr">
        <is>
          <t>https://irdai.gov.in/document-detail?documentId=6436847</t>
        </is>
      </c>
      <c r="E3" s="7" t="inlineStr">
        <is>
          <t>Dec 2024</t>
        </is>
      </c>
      <c r="F3" s="7" t="inlineStr">
        <is>
          <t>Full</t>
        </is>
      </c>
      <c r="G3" s="7" t="inlineStr">
        <is>
          <t>2025-01-15</t>
        </is>
      </c>
      <c r="H3" s="7" t="inlineStr">
        <is>
          <t>Premium, Penetration, Claims</t>
        </is>
      </c>
      <c r="I3" s="7" t="inlineStr">
        <is>
          <t>PRIMARY</t>
        </is>
      </c>
    </row>
    <row r="4">
      <c r="A4" s="7" t="inlineStr">
        <is>
          <t>S03</t>
        </is>
      </c>
      <c r="B4" s="7" t="inlineStr">
        <is>
          <t>GI Council Yearbook 2023-24</t>
        </is>
      </c>
      <c r="C4" s="7" t="inlineStr">
        <is>
          <t>General Insurance Council</t>
        </is>
      </c>
      <c r="D4" s="7" t="inlineStr">
        <is>
          <t>https://www.gicouncil.in/yearbook/2023-24/</t>
        </is>
      </c>
      <c r="E4" s="7" t="inlineStr">
        <is>
          <t>Feb 2025</t>
        </is>
      </c>
      <c r="F4" s="7" t="inlineStr">
        <is>
          <t>Exec Summary</t>
        </is>
      </c>
      <c r="G4" s="7" t="inlineStr">
        <is>
          <t>2025-01-15</t>
        </is>
      </c>
      <c r="H4" s="7" t="inlineStr">
        <is>
          <t>GDPI, Market shares</t>
        </is>
      </c>
      <c r="I4" s="7" t="inlineStr">
        <is>
          <t>PRIMARY</t>
        </is>
      </c>
    </row>
    <row r="5">
      <c r="A5" s="7" t="inlineStr">
        <is>
          <t>S04</t>
        </is>
      </c>
      <c r="B5" s="7" t="inlineStr">
        <is>
          <t>Handbook Indian Insurance Stats</t>
        </is>
      </c>
      <c r="C5" s="7" t="inlineStr">
        <is>
          <t>IRDAI</t>
        </is>
      </c>
      <c r="D5" s="7" t="inlineStr">
        <is>
          <t>https://irdai.gov.in/handbook-of-indian-insurance</t>
        </is>
      </c>
      <c r="E5" s="7" t="inlineStr">
        <is>
          <t>Mar 2025</t>
        </is>
      </c>
      <c r="F5" s="7" t="inlineStr">
        <is>
          <t>All</t>
        </is>
      </c>
      <c r="G5" s="7" t="inlineStr">
        <is>
          <t>2025-01-15</t>
        </is>
      </c>
      <c r="H5" s="7" t="inlineStr">
        <is>
          <t>CSR, State-wise</t>
        </is>
      </c>
      <c r="I5" s="7" t="inlineStr">
        <is>
          <t>PRIMARY</t>
        </is>
      </c>
    </row>
    <row r="6">
      <c r="A6" s="7" t="inlineStr">
        <is>
          <t>S05</t>
        </is>
      </c>
      <c r="B6" s="7" t="inlineStr">
        <is>
          <t>Niva Bupa DRHP Industry Report</t>
        </is>
      </c>
      <c r="C6" s="7" t="inlineStr">
        <is>
          <t>Niva Bupa (Redseer)</t>
        </is>
      </c>
      <c r="D6" s="7" t="inlineStr">
        <is>
          <t>https://transactions.nivabupa.com/pages/doc/drhp/Industry-Report.pdf</t>
        </is>
      </c>
      <c r="E6" s="7" t="inlineStr">
        <is>
          <t>Jun 2024</t>
        </is>
      </c>
      <c r="F6" s="7" t="inlineStr">
        <is>
          <t>1-50</t>
        </is>
      </c>
      <c r="G6" s="7" t="inlineStr">
        <is>
          <t>2025-01-15</t>
        </is>
      </c>
      <c r="H6" s="7" t="inlineStr">
        <is>
          <t>Market size, segments, growth</t>
        </is>
      </c>
      <c r="I6" s="7" t="inlineStr">
        <is>
          <t>PRIMARY</t>
        </is>
      </c>
    </row>
    <row r="7">
      <c r="A7" s="7" t="inlineStr">
        <is>
          <t>S06</t>
        </is>
      </c>
      <c r="B7" s="7" t="inlineStr">
        <is>
          <t>Niva Bupa Annual Report FY24</t>
        </is>
      </c>
      <c r="C7" s="7" t="inlineStr">
        <is>
          <t>Niva Bupa Health Insurance</t>
        </is>
      </c>
      <c r="D7" s="7" t="inlineStr">
        <is>
          <t>https://transactions.nivabupa.com/pages/doc/pub-dis/annual-reports/Annual-Report-FY-2023-24.pdf</t>
        </is>
      </c>
      <c r="E7" s="7" t="inlineStr">
        <is>
          <t>FY24</t>
        </is>
      </c>
      <c r="F7" s="7" t="inlineStr">
        <is>
          <t>Financial</t>
        </is>
      </c>
      <c r="G7" s="7" t="inlineStr">
        <is>
          <t>2025-01-15</t>
        </is>
      </c>
      <c r="H7" s="7" t="inlineStr">
        <is>
          <t>GWP, Claims, Distribution</t>
        </is>
      </c>
      <c r="I7" s="7" t="inlineStr">
        <is>
          <t>COMPANY</t>
        </is>
      </c>
    </row>
    <row r="8">
      <c r="A8" s="7" t="inlineStr">
        <is>
          <t>S07</t>
        </is>
      </c>
      <c r="B8" s="7" t="inlineStr">
        <is>
          <t>Star Health Annual Report FY24</t>
        </is>
      </c>
      <c r="C8" s="7" t="inlineStr">
        <is>
          <t>Star Health &amp; Allied</t>
        </is>
      </c>
      <c r="D8" s="7" t="inlineStr">
        <is>
          <t>https://www.starhealth.in/investors/annual-report/</t>
        </is>
      </c>
      <c r="E8" s="7" t="inlineStr">
        <is>
          <t>FY24</t>
        </is>
      </c>
      <c r="F8" s="7" t="inlineStr">
        <is>
          <t>Financial</t>
        </is>
      </c>
      <c r="G8" s="7" t="inlineStr">
        <is>
          <t>2025-01-15</t>
        </is>
      </c>
      <c r="H8" s="7" t="inlineStr">
        <is>
          <t>SAHI leader metrics</t>
        </is>
      </c>
      <c r="I8" s="7" t="inlineStr">
        <is>
          <t>COMPANY</t>
        </is>
      </c>
    </row>
    <row r="9">
      <c r="A9" s="7" t="inlineStr">
        <is>
          <t>S08</t>
        </is>
      </c>
      <c r="B9" s="7" t="inlineStr">
        <is>
          <t>ICICI Lombard Annual Report FY24</t>
        </is>
      </c>
      <c r="C9" s="7" t="inlineStr">
        <is>
          <t>ICICI Lombard GIC</t>
        </is>
      </c>
      <c r="D9" s="7" t="inlineStr">
        <is>
          <t>https://www.icicilombard.com/docs/default-source/financial-information/annualreport2024.pdf</t>
        </is>
      </c>
      <c r="E9" s="7" t="inlineStr">
        <is>
          <t>FY24</t>
        </is>
      </c>
      <c r="F9" s="7" t="inlineStr">
        <is>
          <t>Full</t>
        </is>
      </c>
      <c r="G9" s="7" t="inlineStr">
        <is>
          <t>2025-01-15</t>
        </is>
      </c>
      <c r="H9" s="7" t="inlineStr">
        <is>
          <t>GWP, Segments, Distribution</t>
        </is>
      </c>
      <c r="I9" s="7" t="inlineStr">
        <is>
          <t>COMPANY</t>
        </is>
      </c>
    </row>
    <row r="10">
      <c r="A10" s="7" t="inlineStr">
        <is>
          <t>S09</t>
        </is>
      </c>
      <c r="B10" s="7" t="inlineStr">
        <is>
          <t>Go Digit DRHP</t>
        </is>
      </c>
      <c r="C10" s="7" t="inlineStr">
        <is>
          <t>Go Digit General Insurance</t>
        </is>
      </c>
      <c r="D10" s="7" t="inlineStr">
        <is>
          <t>https://www.godigit.com/investor-relations</t>
        </is>
      </c>
      <c r="E10" s="7" t="inlineStr">
        <is>
          <t>2024</t>
        </is>
      </c>
      <c r="F10" s="7" t="inlineStr">
        <is>
          <t>Industry</t>
        </is>
      </c>
      <c r="G10" s="7" t="inlineStr">
        <is>
          <t>2025-01-15</t>
        </is>
      </c>
      <c r="H10" s="7" t="inlineStr">
        <is>
          <t>Digital insurance metrics</t>
        </is>
      </c>
      <c r="I10" s="7" t="inlineStr">
        <is>
          <t>IPO FILING</t>
        </is>
      </c>
    </row>
    <row r="11">
      <c r="A11" s="7" t="inlineStr">
        <is>
          <t>S10</t>
        </is>
      </c>
      <c r="B11" s="7" t="inlineStr">
        <is>
          <t>Care Health Annual Report</t>
        </is>
      </c>
      <c r="C11" s="7" t="inlineStr">
        <is>
          <t>Care Health Insurance</t>
        </is>
      </c>
      <c r="D11" s="7" t="inlineStr">
        <is>
          <t>https://www.careinsurance.com/investor-relations</t>
        </is>
      </c>
      <c r="E11" s="7" t="inlineStr">
        <is>
          <t>FY24</t>
        </is>
      </c>
      <c r="F11" s="7" t="inlineStr">
        <is>
          <t>Financial</t>
        </is>
      </c>
      <c r="G11" s="7" t="inlineStr">
        <is>
          <t>2025-01-15</t>
        </is>
      </c>
      <c r="H11" s="7" t="inlineStr">
        <is>
          <t>SAHI competitor data</t>
        </is>
      </c>
      <c r="I11" s="7" t="inlineStr">
        <is>
          <t>COMPANY</t>
        </is>
      </c>
    </row>
    <row r="12">
      <c r="A12" s="7" t="inlineStr">
        <is>
          <t>S11</t>
        </is>
      </c>
      <c r="B12" s="7" t="inlineStr">
        <is>
          <t>Aditya Birla Health Report</t>
        </is>
      </c>
      <c r="C12" s="7" t="inlineStr">
        <is>
          <t>ABHI</t>
        </is>
      </c>
      <c r="D12" s="7" t="inlineStr">
        <is>
          <t>https://www.adityabirlacapital.com/healthinsurance/</t>
        </is>
      </c>
      <c r="E12" s="7" t="inlineStr">
        <is>
          <t>FY24</t>
        </is>
      </c>
      <c r="F12" s="7" t="inlineStr">
        <is>
          <t>Financial</t>
        </is>
      </c>
      <c r="G12" s="7" t="inlineStr">
        <is>
          <t>2025-01-15</t>
        </is>
      </c>
      <c r="H12" s="7" t="inlineStr">
        <is>
          <t>Fastest growing SAHI</t>
        </is>
      </c>
      <c r="I12" s="7" t="inlineStr">
        <is>
          <t>COMPANY</t>
        </is>
      </c>
    </row>
    <row r="13">
      <c r="A13" s="7" t="inlineStr">
        <is>
          <t>S12</t>
        </is>
      </c>
      <c r="B13" s="7" t="inlineStr">
        <is>
          <t>HDFC ERGO Annual Report</t>
        </is>
      </c>
      <c r="C13" s="7" t="inlineStr">
        <is>
          <t>HDFC ERGO GIC</t>
        </is>
      </c>
      <c r="D13" s="7" t="inlineStr">
        <is>
          <t>https://www.hdfcergo.com/about-us/financial/annual-reports</t>
        </is>
      </c>
      <c r="E13" s="7" t="inlineStr">
        <is>
          <t>FY24</t>
        </is>
      </c>
      <c r="F13" s="7" t="inlineStr">
        <is>
          <t>Financial</t>
        </is>
      </c>
      <c r="G13" s="7" t="inlineStr">
        <is>
          <t>2025-01-15</t>
        </is>
      </c>
      <c r="H13" s="7" t="inlineStr">
        <is>
          <t>Private GI competitor</t>
        </is>
      </c>
      <c r="I13" s="7" t="inlineStr">
        <is>
          <t>COMPANY</t>
        </is>
      </c>
    </row>
    <row r="14">
      <c r="A14" s="7" t="inlineStr">
        <is>
          <t>S13</t>
        </is>
      </c>
      <c r="B14" s="7" t="inlineStr">
        <is>
          <t>Bajaj Allianz GIC Report</t>
        </is>
      </c>
      <c r="C14" s="7" t="inlineStr">
        <is>
          <t>Bajaj Allianz</t>
        </is>
      </c>
      <c r="D14" s="7" t="inlineStr">
        <is>
          <t>https://www.bajajallianz.com/about-us/investor-relation.html</t>
        </is>
      </c>
      <c r="E14" s="7" t="inlineStr">
        <is>
          <t>FY24</t>
        </is>
      </c>
      <c r="F14" s="7" t="inlineStr">
        <is>
          <t>Financial</t>
        </is>
      </c>
      <c r="G14" s="7" t="inlineStr">
        <is>
          <t>2025-01-15</t>
        </is>
      </c>
      <c r="H14" s="7" t="inlineStr">
        <is>
          <t>#2 Private GI</t>
        </is>
      </c>
      <c r="I14" s="7" t="inlineStr">
        <is>
          <t>COMPANY</t>
        </is>
      </c>
    </row>
    <row r="15">
      <c r="A15" s="7" t="inlineStr">
        <is>
          <t>S14</t>
        </is>
      </c>
      <c r="B15" s="7" t="inlineStr">
        <is>
          <t>Tata AIG Annual Report</t>
        </is>
      </c>
      <c r="C15" s="7" t="inlineStr">
        <is>
          <t>Tata AIG GIC</t>
        </is>
      </c>
      <c r="D15" s="7" t="inlineStr">
        <is>
          <t>https://www.tataaig.com/about-us/investor-relations</t>
        </is>
      </c>
      <c r="E15" s="7" t="inlineStr">
        <is>
          <t>FY24</t>
        </is>
      </c>
      <c r="F15" s="7" t="inlineStr">
        <is>
          <t>Financial</t>
        </is>
      </c>
      <c r="G15" s="7" t="inlineStr">
        <is>
          <t>2025-01-15</t>
        </is>
      </c>
      <c r="H15" s="7" t="inlineStr">
        <is>
          <t>Motor &amp; Health leader</t>
        </is>
      </c>
      <c r="I15" s="7" t="inlineStr">
        <is>
          <t>COMPANY</t>
        </is>
      </c>
    </row>
    <row r="16">
      <c r="A16" s="7" t="inlineStr">
        <is>
          <t>S15</t>
        </is>
      </c>
      <c r="B16" s="7" t="inlineStr">
        <is>
          <t>TRAI Telecom Reports</t>
        </is>
      </c>
      <c r="C16" s="7" t="inlineStr">
        <is>
          <t>TRAI</t>
        </is>
      </c>
      <c r="D16" s="7" t="inlineStr">
        <is>
          <t>https://www.trai.gov.in/release-publication/reports</t>
        </is>
      </c>
      <c r="E16" s="7" t="inlineStr">
        <is>
          <t>2024</t>
        </is>
      </c>
      <c r="F16" s="7" t="inlineStr">
        <is>
          <t>Subscriptions</t>
        </is>
      </c>
      <c r="G16" s="7" t="inlineStr">
        <is>
          <t>2025-01-15</t>
        </is>
      </c>
      <c r="H16" s="7" t="inlineStr">
        <is>
          <t>Internet, mobile users</t>
        </is>
      </c>
      <c r="I16" s="7" t="inlineStr">
        <is>
          <t>GOVT</t>
        </is>
      </c>
    </row>
    <row r="17">
      <c r="A17" s="7" t="inlineStr">
        <is>
          <t>S16</t>
        </is>
      </c>
      <c r="B17" s="7" t="inlineStr">
        <is>
          <t>Census India Projections</t>
        </is>
      </c>
      <c r="C17" s="7" t="inlineStr">
        <is>
          <t>Registrar General</t>
        </is>
      </c>
      <c r="D17" s="7" t="inlineStr">
        <is>
          <t>https://censusindia.gov.in/</t>
        </is>
      </c>
      <c r="E17" s="7" t="inlineStr">
        <is>
          <t>2011+Proj</t>
        </is>
      </c>
      <c r="F17" s="7" t="inlineStr">
        <is>
          <t>Demographics</t>
        </is>
      </c>
      <c r="G17" s="7" t="inlineStr">
        <is>
          <t>2025-01-15</t>
        </is>
      </c>
      <c r="H17" s="7" t="inlineStr">
        <is>
          <t>Population, urban</t>
        </is>
      </c>
      <c r="I17" s="7" t="inlineStr">
        <is>
          <t>GOVT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12" customWidth="1" min="4" max="4"/>
    <col width="15" customWidth="1" min="5" max="5"/>
    <col width="25" customWidth="1" min="6" max="6"/>
    <col width="12" customWidth="1" min="7" max="7"/>
    <col width="15" customWidth="1" min="8" max="8"/>
  </cols>
  <sheetData>
    <row r="1">
      <c r="A1" s="6" t="inlineStr">
        <is>
          <t>TAM → SAM → SOM WATERFALL ANALYSIS</t>
        </is>
      </c>
      <c r="B1" s="4" t="n"/>
      <c r="C1" s="4" t="n"/>
      <c r="D1" s="4" t="n"/>
      <c r="E1" s="4" t="n"/>
      <c r="F1" s="4" t="n"/>
      <c r="G1" s="4" t="n"/>
      <c r="H1" s="5" t="n"/>
    </row>
    <row r="3">
      <c r="A3" s="3" t="inlineStr">
        <is>
          <t>TOTAL ADDRESSABLE MARKET (TAM)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6" t="inlineStr">
        <is>
          <t>Line</t>
        </is>
      </c>
      <c r="B4" s="6" t="inlineStr">
        <is>
          <t>Parameter</t>
        </is>
      </c>
      <c r="C4" s="6" t="inlineStr">
        <is>
          <t>Value</t>
        </is>
      </c>
      <c r="D4" s="6" t="inlineStr">
        <is>
          <t>Numeric</t>
        </is>
      </c>
      <c r="E4" s="6" t="inlineStr">
        <is>
          <t>Unit</t>
        </is>
      </c>
      <c r="F4" s="6" t="inlineStr">
        <is>
          <t>Calculation</t>
        </is>
      </c>
      <c r="G4" s="6" t="inlineStr">
        <is>
          <t>Source ID</t>
        </is>
      </c>
      <c r="H4" s="6" t="inlineStr">
        <is>
          <t>Page/Table</t>
        </is>
      </c>
    </row>
    <row r="5">
      <c r="A5" s="7" t="n">
        <v>1</v>
      </c>
      <c r="B5" s="7" t="inlineStr">
        <is>
          <t>India Population 2024</t>
        </is>
      </c>
      <c r="C5" s="7" t="inlineStr">
        <is>
          <t>1.44 Billion</t>
        </is>
      </c>
      <c r="D5" s="7" t="n">
        <v>1440000000</v>
      </c>
      <c r="E5" s="7" t="inlineStr">
        <is>
          <t>People</t>
        </is>
      </c>
      <c r="F5" s="7" t="inlineStr">
        <is>
          <t>Census projection</t>
        </is>
      </c>
      <c r="G5" s="7" t="inlineStr">
        <is>
          <t>S16</t>
        </is>
      </c>
      <c r="H5" s="7" t="inlineStr">
        <is>
          <t>Projections</t>
        </is>
      </c>
    </row>
    <row r="6">
      <c r="A6" s="7" t="n">
        <v>2</v>
      </c>
      <c r="B6" s="7" t="inlineStr">
        <is>
          <t>Total Insurance Premium FY24</t>
        </is>
      </c>
      <c r="C6" s="7" t="inlineStr">
        <is>
          <t>₹11.19 Trillion</t>
        </is>
      </c>
      <c r="D6" s="7" t="n">
        <v>1119000</v>
      </c>
      <c r="E6" s="7" t="inlineStr">
        <is>
          <t>₹ Crore</t>
        </is>
      </c>
      <c r="F6" s="7" t="inlineStr">
        <is>
          <t>Life + Non-Life</t>
        </is>
      </c>
      <c r="G6" s="7" t="inlineStr">
        <is>
          <t>S02</t>
        </is>
      </c>
      <c r="H6" s="7" t="inlineStr">
        <is>
          <t>Summary</t>
        </is>
      </c>
    </row>
    <row r="7">
      <c r="A7" s="7" t="n">
        <v>3</v>
      </c>
      <c r="B7" s="7" t="inlineStr">
        <is>
          <t>Non-Life GDPI FY24</t>
        </is>
      </c>
      <c r="C7" s="7" t="inlineStr">
        <is>
          <t>₹2.90 Trillion</t>
        </is>
      </c>
      <c r="D7" s="7" t="n">
        <v>290000</v>
      </c>
      <c r="E7" s="7" t="inlineStr">
        <is>
          <t>₹ Crore</t>
        </is>
      </c>
      <c r="F7" s="7" t="inlineStr">
        <is>
          <t>General Insurance</t>
        </is>
      </c>
      <c r="G7" s="7" t="inlineStr">
        <is>
          <t>S02</t>
        </is>
      </c>
      <c r="H7" s="7" t="inlineStr">
        <is>
          <t>Summary</t>
        </is>
      </c>
    </row>
    <row r="8">
      <c r="A8" s="7" t="n">
        <v>4</v>
      </c>
      <c r="B8" s="7" t="inlineStr">
        <is>
          <t>Health Insurance GWP FY24</t>
        </is>
      </c>
      <c r="C8" s="7" t="inlineStr">
        <is>
          <t>₹1.17 Trillion</t>
        </is>
      </c>
      <c r="D8" s="7" t="n">
        <v>117000</v>
      </c>
      <c r="E8" s="7" t="inlineStr">
        <is>
          <t>₹ Crore</t>
        </is>
      </c>
      <c r="F8" s="7" t="inlineStr">
        <is>
          <t>Including PA+Travel</t>
        </is>
      </c>
      <c r="G8" s="7" t="inlineStr">
        <is>
          <t>S02</t>
        </is>
      </c>
      <c r="H8" s="7" t="inlineStr">
        <is>
          <t>Summary</t>
        </is>
      </c>
    </row>
    <row r="9">
      <c r="A9" s="7" t="n">
        <v>5</v>
      </c>
      <c r="B9" s="7" t="inlineStr">
        <is>
          <t>Health as % of Non-Life</t>
        </is>
      </c>
      <c r="C9" s="7" t="inlineStr">
        <is>
          <t>40.3%</t>
        </is>
      </c>
      <c r="D9" s="7" t="n">
        <v>0.403</v>
      </c>
      <c r="E9" s="7" t="inlineStr">
        <is>
          <t>%</t>
        </is>
      </c>
      <c r="F9" s="7">
        <f>D8/D7</f>
        <v/>
      </c>
      <c r="G9" s="7" t="inlineStr">
        <is>
          <t>S03</t>
        </is>
      </c>
      <c r="H9" s="7" t="inlineStr">
        <is>
          <t>Exec Summary</t>
        </is>
      </c>
    </row>
    <row r="10">
      <c r="A10" s="7" t="n">
        <v>6</v>
      </c>
      <c r="B10" s="7" t="inlineStr">
        <is>
          <t>Health Insurance Growth FY24</t>
        </is>
      </c>
      <c r="C10" s="7" t="inlineStr">
        <is>
          <t>20.2%</t>
        </is>
      </c>
      <c r="D10" s="7" t="n">
        <v>0.202</v>
      </c>
      <c r="E10" s="7" t="inlineStr">
        <is>
          <t>%</t>
        </is>
      </c>
      <c r="F10" s="7" t="inlineStr">
        <is>
          <t>YoY growth</t>
        </is>
      </c>
      <c r="G10" s="7" t="inlineStr">
        <is>
          <t>S05</t>
        </is>
      </c>
      <c r="H10" s="7" t="inlineStr">
        <is>
          <t>Page 12</t>
        </is>
      </c>
    </row>
    <row r="11">
      <c r="A11" s="7" t="n">
        <v>7</v>
      </c>
      <c r="B11" s="7" t="inlineStr">
        <is>
          <t>Total ITR Filers AY23-24</t>
        </is>
      </c>
      <c r="C11" s="7" t="inlineStr">
        <is>
          <t>7.97 Crore</t>
        </is>
      </c>
      <c r="D11" s="7" t="n">
        <v>79712145</v>
      </c>
      <c r="E11" s="7" t="inlineStr">
        <is>
          <t>People</t>
        </is>
      </c>
      <c r="F11" s="7" t="inlineStr">
        <is>
          <t>All returns filed</t>
        </is>
      </c>
      <c r="G11" s="7" t="inlineStr">
        <is>
          <t>S01</t>
        </is>
      </c>
      <c r="H11" s="7" t="inlineStr">
        <is>
          <t>Page 6</t>
        </is>
      </c>
    </row>
    <row r="12">
      <c r="A12" s="7" t="n">
        <v>8</v>
      </c>
      <c r="B12" s="7" t="inlineStr">
        <is>
          <t>Individual ITR Filers</t>
        </is>
      </c>
      <c r="C12" s="7" t="inlineStr">
        <is>
          <t>7.55 Crore</t>
        </is>
      </c>
      <c r="D12" s="7" t="n">
        <v>75461286</v>
      </c>
      <c r="E12" s="7" t="inlineStr">
        <is>
          <t>People</t>
        </is>
      </c>
      <c r="F12" s="7" t="inlineStr">
        <is>
          <t>Individual returns</t>
        </is>
      </c>
      <c r="G12" s="7" t="inlineStr">
        <is>
          <t>S01</t>
        </is>
      </c>
      <c r="H12" s="7" t="inlineStr">
        <is>
          <t>Page 6</t>
        </is>
      </c>
    </row>
    <row r="13">
      <c r="A13" s="7" t="n">
        <v>9</v>
      </c>
      <c r="B13" s="7" t="inlineStr">
        <is>
          <t>Internet Users India</t>
        </is>
      </c>
      <c r="C13" s="7" t="inlineStr">
        <is>
          <t>900 Million</t>
        </is>
      </c>
      <c r="D13" s="7" t="n">
        <v>900000000</v>
      </c>
      <c r="E13" s="7" t="inlineStr">
        <is>
          <t>People</t>
        </is>
      </c>
      <c r="F13" s="7" t="inlineStr">
        <is>
          <t>TRAI data</t>
        </is>
      </c>
      <c r="G13" s="7" t="inlineStr">
        <is>
          <t>S15</t>
        </is>
      </c>
      <c r="H13" s="7" t="inlineStr">
        <is>
          <t>Subscriptions</t>
        </is>
      </c>
    </row>
    <row r="14">
      <c r="A14" s="7" t="n">
        <v>10</v>
      </c>
      <c r="B14" s="7" t="inlineStr">
        <is>
          <t>Smartphone Users India</t>
        </is>
      </c>
      <c r="C14" s="7" t="inlineStr">
        <is>
          <t>750 Million</t>
        </is>
      </c>
      <c r="D14" s="7" t="n">
        <v>750000000</v>
      </c>
      <c r="E14" s="7" t="inlineStr">
        <is>
          <t>People</t>
        </is>
      </c>
      <c r="F14" s="7" t="inlineStr">
        <is>
          <t>Mobile internet</t>
        </is>
      </c>
      <c r="G14" s="7" t="inlineStr">
        <is>
          <t>S15</t>
        </is>
      </c>
      <c r="H14" s="7" t="inlineStr">
        <is>
          <t>Subscriptions</t>
        </is>
      </c>
    </row>
    <row r="16">
      <c r="A16" s="3" t="inlineStr">
        <is>
          <t>SERVICEABLE ADDRESSABLE MARKET (SAM)</t>
        </is>
      </c>
      <c r="B16" s="4" t="n"/>
      <c r="C16" s="4" t="n"/>
      <c r="D16" s="4" t="n"/>
      <c r="E16" s="4" t="n"/>
      <c r="F16" s="4" t="n"/>
      <c r="G16" s="4" t="n"/>
      <c r="H16" s="5" t="n"/>
    </row>
    <row r="17">
      <c r="A17" s="6" t="inlineStr">
        <is>
          <t>Line</t>
        </is>
      </c>
      <c r="B17" s="6" t="inlineStr">
        <is>
          <t>Parameter</t>
        </is>
      </c>
      <c r="C17" s="6" t="inlineStr">
        <is>
          <t>Value</t>
        </is>
      </c>
      <c r="D17" s="6" t="inlineStr">
        <is>
          <t>Numeric</t>
        </is>
      </c>
      <c r="E17" s="6" t="inlineStr">
        <is>
          <t>Unit</t>
        </is>
      </c>
      <c r="F17" s="6" t="inlineStr">
        <is>
          <t>Calculation</t>
        </is>
      </c>
      <c r="G17" s="6" t="inlineStr">
        <is>
          <t>Source ID</t>
        </is>
      </c>
      <c r="H17" s="6" t="inlineStr">
        <is>
          <t>Page/Table</t>
        </is>
      </c>
    </row>
    <row r="18">
      <c r="A18" s="7" t="n">
        <v>11</v>
      </c>
      <c r="B18" s="7" t="inlineStr">
        <is>
          <t>Retail Health Insurance</t>
        </is>
      </c>
      <c r="C18" s="7" t="inlineStr">
        <is>
          <t>₹44,800 Crore</t>
        </is>
      </c>
      <c r="D18" s="7" t="n">
        <v>44800</v>
      </c>
      <c r="E18" s="7" t="inlineStr">
        <is>
          <t>₹ Crore</t>
        </is>
      </c>
      <c r="F18" s="7" t="inlineStr">
        <is>
          <t>38.7% of Health GWP</t>
        </is>
      </c>
      <c r="G18" s="7" t="inlineStr">
        <is>
          <t>S05</t>
        </is>
      </c>
      <c r="H18" s="7" t="inlineStr">
        <is>
          <t>Page 15</t>
        </is>
      </c>
    </row>
    <row r="19">
      <c r="A19" s="7" t="n">
        <v>12</v>
      </c>
      <c r="B19" s="7" t="inlineStr">
        <is>
          <t>Group Health Insurance</t>
        </is>
      </c>
      <c r="C19" s="7" t="inlineStr">
        <is>
          <t>₹58,500 Crore</t>
        </is>
      </c>
      <c r="D19" s="7" t="n">
        <v>58500</v>
      </c>
      <c r="E19" s="7" t="inlineStr">
        <is>
          <t>₹ Crore</t>
        </is>
      </c>
      <c r="F19" s="7" t="inlineStr">
        <is>
          <t>50.5% of Health GWP</t>
        </is>
      </c>
      <c r="G19" s="7" t="inlineStr">
        <is>
          <t>S05</t>
        </is>
      </c>
      <c r="H19" s="7" t="inlineStr">
        <is>
          <t>Page 15</t>
        </is>
      </c>
    </row>
    <row r="20">
      <c r="A20" s="7" t="n">
        <v>13</v>
      </c>
      <c r="B20" s="7" t="inlineStr">
        <is>
          <t>Govt Schemes (PMJAY etc)</t>
        </is>
      </c>
      <c r="C20" s="7" t="inlineStr">
        <is>
          <t>₹11,200 Crore</t>
        </is>
      </c>
      <c r="D20" s="7" t="n">
        <v>11200</v>
      </c>
      <c r="E20" s="7" t="inlineStr">
        <is>
          <t>₹ Crore</t>
        </is>
      </c>
      <c r="F20" s="7" t="inlineStr">
        <is>
          <t>9.7% of Health GWP</t>
        </is>
      </c>
      <c r="G20" s="7" t="inlineStr">
        <is>
          <t>S05</t>
        </is>
      </c>
      <c r="H20" s="7" t="inlineStr">
        <is>
          <t>Page 15</t>
        </is>
      </c>
    </row>
    <row r="21">
      <c r="A21" s="7" t="n">
        <v>14</v>
      </c>
      <c r="B21" s="7" t="inlineStr">
        <is>
          <t>Overseas Medical</t>
        </is>
      </c>
      <c r="C21" s="7" t="inlineStr">
        <is>
          <t>₹1,300 Crore</t>
        </is>
      </c>
      <c r="D21" s="7" t="n">
        <v>1300</v>
      </c>
      <c r="E21" s="7" t="inlineStr">
        <is>
          <t>₹ Crore</t>
        </is>
      </c>
      <c r="F21" s="7" t="inlineStr">
        <is>
          <t>1.1% of Health GWP</t>
        </is>
      </c>
      <c r="G21" s="7" t="inlineStr">
        <is>
          <t>S05</t>
        </is>
      </c>
      <c r="H21" s="7" t="inlineStr">
        <is>
          <t>Page 15</t>
        </is>
      </c>
    </row>
    <row r="22">
      <c r="A22" s="7" t="n">
        <v>15</v>
      </c>
      <c r="B22" s="7" t="inlineStr">
        <is>
          <t>Income &gt;5L Taxpayers</t>
        </is>
      </c>
      <c r="C22" s="7" t="inlineStr">
        <is>
          <t>4.67 Crore</t>
        </is>
      </c>
      <c r="D22" s="7" t="n">
        <v>46721465</v>
      </c>
      <c r="E22" s="7" t="inlineStr">
        <is>
          <t>People</t>
        </is>
      </c>
      <c r="F22" s="7" t="inlineStr">
        <is>
          <t>Sum of slabs &gt;5L</t>
        </is>
      </c>
      <c r="G22" s="7" t="inlineStr">
        <is>
          <t>S01</t>
        </is>
      </c>
      <c r="H22" s="7" t="inlineStr">
        <is>
          <t>Table 1.1</t>
        </is>
      </c>
    </row>
    <row r="23">
      <c r="A23" s="7" t="n">
        <v>16</v>
      </c>
      <c r="B23" s="7" t="inlineStr">
        <is>
          <t>Salaried Taxpayers</t>
        </is>
      </c>
      <c r="C23" s="7" t="inlineStr">
        <is>
          <t>3.80 Crore</t>
        </is>
      </c>
      <c r="D23" s="7" t="n">
        <v>37964804</v>
      </c>
      <c r="E23" s="7" t="inlineStr">
        <is>
          <t>People</t>
        </is>
      </c>
      <c r="F23" s="7" t="inlineStr">
        <is>
          <t>Employment type</t>
        </is>
      </c>
      <c r="G23" s="7" t="inlineStr">
        <is>
          <t>S01</t>
        </is>
      </c>
      <c r="H23" s="7" t="inlineStr">
        <is>
          <t>Table 1.2</t>
        </is>
      </c>
    </row>
    <row r="24">
      <c r="A24" s="7" t="n">
        <v>17</v>
      </c>
      <c r="B24" s="7" t="inlineStr">
        <is>
          <t>Urban Internet Users</t>
        </is>
      </c>
      <c r="C24" s="7" t="inlineStr">
        <is>
          <t>450 Million</t>
        </is>
      </c>
      <c r="D24" s="7" t="n">
        <v>450000000</v>
      </c>
      <c r="E24" s="7" t="inlineStr">
        <is>
          <t>People</t>
        </is>
      </c>
      <c r="F24" s="7" t="inlineStr">
        <is>
          <t>~50% of total</t>
        </is>
      </c>
      <c r="G24" s="7" t="inlineStr">
        <is>
          <t>S15</t>
        </is>
      </c>
      <c r="H24" s="7" t="inlineStr">
        <is>
          <t>Est</t>
        </is>
      </c>
    </row>
    <row r="25">
      <c r="A25" s="7" t="n">
        <v>18</v>
      </c>
      <c r="B25" s="7" t="inlineStr">
        <is>
          <t>Metro Population (Top 10)</t>
        </is>
      </c>
      <c r="C25" s="7" t="inlineStr">
        <is>
          <t>150 Million</t>
        </is>
      </c>
      <c r="D25" s="7" t="n">
        <v>150000000</v>
      </c>
      <c r="E25" s="7" t="inlineStr">
        <is>
          <t>People</t>
        </is>
      </c>
      <c r="F25" s="7" t="inlineStr">
        <is>
          <t>Tier-1 cities</t>
        </is>
      </c>
      <c r="G25" s="7" t="inlineStr">
        <is>
          <t>S16</t>
        </is>
      </c>
      <c r="H25" s="7" t="inlineStr">
        <is>
          <t>Census</t>
        </is>
      </c>
    </row>
    <row r="26">
      <c r="A26" s="7" t="n">
        <v>19</v>
      </c>
      <c r="B26" s="7" t="inlineStr">
        <is>
          <t>Digital Insurance Market</t>
        </is>
      </c>
      <c r="C26" s="7" t="inlineStr">
        <is>
          <t>₹12,000 Crore</t>
        </is>
      </c>
      <c r="D26" s="7" t="n">
        <v>12000</v>
      </c>
      <c r="E26" s="7" t="inlineStr">
        <is>
          <t>₹ Crore</t>
        </is>
      </c>
      <c r="F26" s="7" t="inlineStr">
        <is>
          <t>~10% of Non-Life</t>
        </is>
      </c>
      <c r="G26" s="7" t="inlineStr">
        <is>
          <t>S09</t>
        </is>
      </c>
      <c r="H26" s="7" t="inlineStr">
        <is>
          <t>DRHP</t>
        </is>
      </c>
    </row>
    <row r="27">
      <c r="A27" s="7" t="n">
        <v>20</v>
      </c>
      <c r="B27" s="7" t="inlineStr">
        <is>
          <t>Retail Buyers Online</t>
        </is>
      </c>
      <c r="C27" s="7" t="inlineStr">
        <is>
          <t>72.2%</t>
        </is>
      </c>
      <c r="D27" s="7" t="n">
        <v>0.722</v>
      </c>
      <c r="E27" s="7" t="inlineStr">
        <is>
          <t>%</t>
        </is>
      </c>
      <c r="F27" s="7" t="inlineStr">
        <is>
          <t>Of online insurance</t>
        </is>
      </c>
      <c r="G27" s="7" t="inlineStr">
        <is>
          <t>S09</t>
        </is>
      </c>
      <c r="H27" s="7" t="inlineStr">
        <is>
          <t>DRHP</t>
        </is>
      </c>
    </row>
    <row r="29">
      <c r="A29" s="3" t="inlineStr">
        <is>
          <t>SERVICEABLE OBTAINABLE MARKET (SOM) - ICICI LOMBARD D2C</t>
        </is>
      </c>
      <c r="B29" s="4" t="n"/>
      <c r="C29" s="4" t="n"/>
      <c r="D29" s="4" t="n"/>
      <c r="E29" s="4" t="n"/>
      <c r="F29" s="4" t="n"/>
      <c r="G29" s="4" t="n"/>
      <c r="H29" s="5" t="n"/>
    </row>
    <row r="30">
      <c r="A30" s="6" t="inlineStr">
        <is>
          <t>Line</t>
        </is>
      </c>
      <c r="B30" s="6" t="inlineStr">
        <is>
          <t>Parameter</t>
        </is>
      </c>
      <c r="C30" s="6" t="inlineStr">
        <is>
          <t>Value</t>
        </is>
      </c>
      <c r="D30" s="6" t="inlineStr">
        <is>
          <t>Numeric</t>
        </is>
      </c>
      <c r="E30" s="6" t="inlineStr">
        <is>
          <t>Unit</t>
        </is>
      </c>
      <c r="F30" s="6" t="inlineStr">
        <is>
          <t>Calculation</t>
        </is>
      </c>
      <c r="G30" s="6" t="inlineStr">
        <is>
          <t>Source ID</t>
        </is>
      </c>
      <c r="H30" s="6" t="inlineStr">
        <is>
          <t>Page/Table</t>
        </is>
      </c>
    </row>
    <row r="31">
      <c r="A31" s="7" t="n">
        <v>21</v>
      </c>
      <c r="B31" s="7" t="inlineStr">
        <is>
          <t>D2C Addressable Retail</t>
        </is>
      </c>
      <c r="C31" s="7" t="inlineStr">
        <is>
          <t>₹25,000 Crore</t>
        </is>
      </c>
      <c r="D31" s="7" t="n">
        <v>25000</v>
      </c>
      <c r="E31" s="7" t="inlineStr">
        <is>
          <t>₹ Crore</t>
        </is>
      </c>
      <c r="F31" s="7" t="inlineStr">
        <is>
          <t>~56% of Retail Health</t>
        </is>
      </c>
      <c r="G31" s="7" t="inlineStr">
        <is>
          <t>Calculated</t>
        </is>
      </c>
      <c r="H31" s="7" t="inlineStr">
        <is>
          <t>Model</t>
        </is>
      </c>
    </row>
    <row r="32">
      <c r="A32" s="7" t="n">
        <v>22</v>
      </c>
      <c r="B32" s="7" t="inlineStr">
        <is>
          <t>Target Segment (Income &gt;5L, Urban, Digital)</t>
        </is>
      </c>
      <c r="C32" s="7" t="inlineStr">
        <is>
          <t>2.5 Crore</t>
        </is>
      </c>
      <c r="D32" s="7" t="n">
        <v>25000000</v>
      </c>
      <c r="E32" s="7" t="inlineStr">
        <is>
          <t>People</t>
        </is>
      </c>
      <c r="F32" s="7" t="inlineStr">
        <is>
          <t>Filtered TAM</t>
        </is>
      </c>
      <c r="G32" s="7" t="inlineStr">
        <is>
          <t>Calculated</t>
        </is>
      </c>
      <c r="H32" s="7" t="inlineStr">
        <is>
          <t>Model</t>
        </is>
      </c>
    </row>
    <row r="33">
      <c r="A33" s="7" t="n">
        <v>23</v>
      </c>
      <c r="B33" s="7" t="inlineStr">
        <is>
          <t>Current ICICI Retail Health</t>
        </is>
      </c>
      <c r="C33" s="7" t="inlineStr">
        <is>
          <t>₹2,800 Crore</t>
        </is>
      </c>
      <c r="D33" s="7" t="n">
        <v>2800</v>
      </c>
      <c r="E33" s="7" t="inlineStr">
        <is>
          <t>₹ Crore</t>
        </is>
      </c>
      <c r="F33" s="7" t="inlineStr">
        <is>
          <t>2.9% share</t>
        </is>
      </c>
      <c r="G33" s="7" t="inlineStr">
        <is>
          <t>S08</t>
        </is>
      </c>
      <c r="H33" s="7" t="inlineStr">
        <is>
          <t>Segmental</t>
        </is>
      </c>
    </row>
    <row r="34">
      <c r="A34" s="7" t="n">
        <v>24</v>
      </c>
      <c r="B34" s="7" t="inlineStr">
        <is>
          <t>Target Market Share (5Y)</t>
        </is>
      </c>
      <c r="C34" s="7" t="inlineStr">
        <is>
          <t>10%</t>
        </is>
      </c>
      <c r="D34" s="7" t="n">
        <v>0.1</v>
      </c>
      <c r="E34" s="7" t="inlineStr">
        <is>
          <t>%</t>
        </is>
      </c>
      <c r="F34" s="7" t="inlineStr">
        <is>
          <t>From 2.9%</t>
        </is>
      </c>
      <c r="G34" s="7" t="inlineStr">
        <is>
          <t>Assumption</t>
        </is>
      </c>
      <c r="H34" s="7" t="inlineStr">
        <is>
          <t>Model</t>
        </is>
      </c>
    </row>
    <row r="35">
      <c r="A35" s="7" t="n">
        <v>25</v>
      </c>
      <c r="B35" s="7" t="inlineStr">
        <is>
          <t>SOM Year 5 GWP</t>
        </is>
      </c>
      <c r="C35" s="7" t="inlineStr">
        <is>
          <t>₹4,500 Crore</t>
        </is>
      </c>
      <c r="D35" s="7" t="n">
        <v>4500</v>
      </c>
      <c r="E35" s="7" t="inlineStr">
        <is>
          <t>₹ Crore</t>
        </is>
      </c>
      <c r="F35" s="7">
        <f>D25*D28</f>
        <v/>
      </c>
      <c r="G35" s="7" t="inlineStr">
        <is>
          <t>Calculated</t>
        </is>
      </c>
      <c r="H35" s="7" t="inlineStr">
        <is>
          <t>Model</t>
        </is>
      </c>
    </row>
    <row r="36">
      <c r="A36" s="7" t="n">
        <v>26</v>
      </c>
      <c r="B36" s="7" t="inlineStr">
        <is>
          <t>Implied New Customers (5Y)</t>
        </is>
      </c>
      <c r="C36" s="7" t="inlineStr">
        <is>
          <t>3,00,000</t>
        </is>
      </c>
      <c r="D36" s="7" t="n">
        <v>300000</v>
      </c>
      <c r="E36" s="7" t="inlineStr">
        <is>
          <t>Policies</t>
        </is>
      </c>
      <c r="F36" s="7" t="inlineStr">
        <is>
          <t>At ₹15K avg</t>
        </is>
      </c>
      <c r="G36" s="7" t="inlineStr">
        <is>
          <t>Calculated</t>
        </is>
      </c>
      <c r="H36" s="7" t="inlineStr">
        <is>
          <t>Model</t>
        </is>
      </c>
    </row>
    <row r="37">
      <c r="A37" s="7" t="n">
        <v>27</v>
      </c>
      <c r="B37" s="7" t="inlineStr">
        <is>
          <t>Digital Channel Target</t>
        </is>
      </c>
      <c r="C37" s="7" t="inlineStr">
        <is>
          <t>35%</t>
        </is>
      </c>
      <c r="D37" s="7" t="n">
        <v>0.35</v>
      </c>
      <c r="E37" s="7" t="inlineStr">
        <is>
          <t>%</t>
        </is>
      </c>
      <c r="F37" s="7" t="inlineStr">
        <is>
          <t>Of ICICI health</t>
        </is>
      </c>
      <c r="G37" s="7" t="inlineStr">
        <is>
          <t>Assumption</t>
        </is>
      </c>
      <c r="H37" s="7" t="inlineStr">
        <is>
          <t>Model</t>
        </is>
      </c>
    </row>
    <row r="38">
      <c r="A38" s="7" t="n">
        <v>28</v>
      </c>
      <c r="B38" s="7" t="inlineStr">
        <is>
          <t>D2C App Target</t>
        </is>
      </c>
      <c r="C38" s="7" t="inlineStr">
        <is>
          <t>20%</t>
        </is>
      </c>
      <c r="D38" s="7" t="n">
        <v>0.2</v>
      </c>
      <c r="E38" s="7" t="inlineStr">
        <is>
          <t>%</t>
        </is>
      </c>
      <c r="F38" s="7" t="inlineStr">
        <is>
          <t>Of digital channel</t>
        </is>
      </c>
      <c r="G38" s="7" t="inlineStr">
        <is>
          <t>Assumption</t>
        </is>
      </c>
      <c r="H38" s="7" t="inlineStr">
        <is>
          <t>Model</t>
        </is>
      </c>
    </row>
    <row r="40">
      <c r="A40" s="3" t="inlineStr">
        <is>
          <t>WATERFALL SUMMARY (with linked formulas)</t>
        </is>
      </c>
      <c r="B40" s="4" t="n"/>
      <c r="C40" s="4" t="n"/>
      <c r="D40" s="4" t="n"/>
      <c r="E40" s="5" t="n"/>
    </row>
    <row r="41">
      <c r="A41" s="6" t="inlineStr">
        <is>
          <t>Step</t>
        </is>
      </c>
      <c r="B41" s="6" t="inlineStr">
        <is>
          <t>Description</t>
        </is>
      </c>
      <c r="C41" s="6" t="inlineStr">
        <is>
          <t>Value (₹ Cr)</t>
        </is>
      </c>
      <c r="D41" s="6" t="inlineStr">
        <is>
          <t>% of Previous</t>
        </is>
      </c>
      <c r="E41" s="6" t="inlineStr">
        <is>
          <t>Cumulative %</t>
        </is>
      </c>
    </row>
    <row r="42">
      <c r="A42" s="7" t="n">
        <v>1</v>
      </c>
      <c r="B42" s="7" t="inlineStr">
        <is>
          <t>TAM: Total Health Insurance</t>
        </is>
      </c>
      <c r="C42" s="7" t="n">
        <v>117000</v>
      </c>
      <c r="D42" s="7" t="inlineStr">
        <is>
          <t>100%</t>
        </is>
      </c>
      <c r="E42" s="7" t="inlineStr">
        <is>
          <t>100%</t>
        </is>
      </c>
    </row>
    <row r="43">
      <c r="A43" s="7" t="n">
        <v>2</v>
      </c>
      <c r="B43" s="7" t="inlineStr">
        <is>
          <t>Filter: Retail Only</t>
        </is>
      </c>
      <c r="C43" s="7">
        <f>C42*0.387</f>
        <v/>
      </c>
      <c r="D43" s="7" t="inlineStr">
        <is>
          <t>38.7%</t>
        </is>
      </c>
      <c r="E43" s="7">
        <f>C43/C42</f>
        <v/>
      </c>
    </row>
    <row r="44">
      <c r="A44" s="7" t="n">
        <v>3</v>
      </c>
      <c r="B44" s="7" t="inlineStr">
        <is>
          <t>Filter: Urban Digital (60%)</t>
        </is>
      </c>
      <c r="C44" s="7">
        <f>C43*0.6</f>
        <v/>
      </c>
      <c r="D44" s="7" t="inlineStr">
        <is>
          <t>60%</t>
        </is>
      </c>
      <c r="E44" s="7">
        <f>C44/C42</f>
        <v/>
      </c>
    </row>
    <row r="45">
      <c r="A45" s="7" t="n">
        <v>4</v>
      </c>
      <c r="B45" s="7" t="inlineStr">
        <is>
          <t>Filter: Target Income (35%)</t>
        </is>
      </c>
      <c r="C45" s="7">
        <f>C44*0.35</f>
        <v/>
      </c>
      <c r="D45" s="7" t="inlineStr">
        <is>
          <t>35%</t>
        </is>
      </c>
      <c r="E45" s="7">
        <f>C45/C42</f>
        <v/>
      </c>
    </row>
    <row r="46">
      <c r="A46" s="7" t="n">
        <v>5</v>
      </c>
      <c r="B46" s="7" t="inlineStr">
        <is>
          <t>SOM: 5Y Capture (15%)</t>
        </is>
      </c>
      <c r="C46" s="7">
        <f>C45*0.15</f>
        <v/>
      </c>
      <c r="D46" s="7" t="inlineStr">
        <is>
          <t>15%</t>
        </is>
      </c>
      <c r="E46" s="7">
        <f>C46/C42</f>
        <v/>
      </c>
    </row>
  </sheetData>
  <mergeCells count="5">
    <mergeCell ref="A3:H3"/>
    <mergeCell ref="A29:H29"/>
    <mergeCell ref="A16:H16"/>
    <mergeCell ref="A1:H1"/>
    <mergeCell ref="A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8" customWidth="1" min="8" max="8"/>
    <col width="8" customWidth="1" min="9" max="9"/>
    <col width="8" customWidth="1" min="10" max="10"/>
  </cols>
  <sheetData>
    <row r="1">
      <c r="A1" s="6" t="inlineStr">
        <is>
          <t>CBDT ITR STATISTICS AY 2023-24 - INCOME DISTRIBUTION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8" t="inlineStr">
        <is>
          <t>Source: https://incometaxindia.gov.in/Documents/Direct%20Tax%20Data/Approved-version-Income-Tax-Return-Statistics-for-the-AY-2023-24.pdf</t>
        </is>
      </c>
    </row>
    <row r="4">
      <c r="A4" s="6" t="inlineStr">
        <is>
          <t>Line</t>
        </is>
      </c>
      <c r="B4" s="6" t="inlineStr">
        <is>
          <t>Income Slab</t>
        </is>
      </c>
      <c r="C4" s="6" t="inlineStr">
        <is>
          <t>Filers</t>
        </is>
      </c>
      <c r="D4" s="6" t="inlineStr">
        <is>
          <t>% of Total</t>
        </is>
      </c>
      <c r="E4" s="6" t="inlineStr">
        <is>
          <t>Cumulative %</t>
        </is>
      </c>
      <c r="F4" s="6" t="inlineStr">
        <is>
          <t>Target Segment</t>
        </is>
      </c>
      <c r="G4" s="6" t="inlineStr">
        <is>
          <t>Avg Premium</t>
        </is>
      </c>
      <c r="H4" s="6" t="inlineStr">
        <is>
          <t>Market Size (₹ Cr)</t>
        </is>
      </c>
      <c r="I4" s="6" t="inlineStr">
        <is>
          <t>Page</t>
        </is>
      </c>
      <c r="J4" s="6" t="inlineStr">
        <is>
          <t>Table</t>
        </is>
      </c>
    </row>
    <row r="5">
      <c r="A5" s="7" t="n">
        <v>1</v>
      </c>
      <c r="B5" s="7" t="inlineStr">
        <is>
          <t>Income = 0</t>
        </is>
      </c>
      <c r="C5" s="7" t="n">
        <v>1441175</v>
      </c>
      <c r="D5" s="7">
        <f>C5/$C$22</f>
        <v/>
      </c>
      <c r="E5" s="7">
        <f>D5</f>
        <v/>
      </c>
      <c r="F5" s="7" t="inlineStr">
        <is>
          <t>No</t>
        </is>
      </c>
      <c r="G5" s="7" t="n">
        <v>0</v>
      </c>
      <c r="H5" s="7">
        <f>IF(F5="Yes",C5*G5/10000000,0)</f>
        <v/>
      </c>
      <c r="I5" s="7" t="n">
        <v>9</v>
      </c>
      <c r="J5" s="7" t="inlineStr">
        <is>
          <t>1.1</t>
        </is>
      </c>
    </row>
    <row r="6">
      <c r="A6" s="7" t="n">
        <v>2</v>
      </c>
      <c r="B6" s="7" t="inlineStr">
        <is>
          <t>Income &gt;0 to ≤1.5L</t>
        </is>
      </c>
      <c r="C6" s="7" t="n">
        <v>4144666</v>
      </c>
      <c r="D6" s="7">
        <f>C6/$C$22</f>
        <v/>
      </c>
      <c r="E6" s="7">
        <f>D5+D6</f>
        <v/>
      </c>
      <c r="F6" s="7" t="inlineStr">
        <is>
          <t>No</t>
        </is>
      </c>
      <c r="G6" s="7" t="n">
        <v>0</v>
      </c>
      <c r="H6" s="7">
        <f>IF(F6="Yes",C6*G6/10000000,0)</f>
        <v/>
      </c>
      <c r="I6" s="7" t="n">
        <v>9</v>
      </c>
      <c r="J6" s="7" t="inlineStr">
        <is>
          <t>1.1</t>
        </is>
      </c>
    </row>
    <row r="7">
      <c r="A7" s="7" t="n">
        <v>3</v>
      </c>
      <c r="B7" s="7" t="inlineStr">
        <is>
          <t>Income &gt;1.5L to ≤2L</t>
        </is>
      </c>
      <c r="C7" s="7" t="n">
        <v>1509747</v>
      </c>
      <c r="D7" s="7">
        <f>C7/$C$22</f>
        <v/>
      </c>
      <c r="E7" s="7">
        <f>E6+D7</f>
        <v/>
      </c>
      <c r="F7" s="7" t="inlineStr">
        <is>
          <t>No</t>
        </is>
      </c>
      <c r="G7" s="7" t="n">
        <v>0</v>
      </c>
      <c r="H7" s="7">
        <f>IF(F7="Yes",C7*G7/10000000,0)</f>
        <v/>
      </c>
      <c r="I7" s="7" t="n">
        <v>9</v>
      </c>
      <c r="J7" s="7" t="inlineStr">
        <is>
          <t>1.1</t>
        </is>
      </c>
    </row>
    <row r="8">
      <c r="A8" s="7" t="n">
        <v>4</v>
      </c>
      <c r="B8" s="7" t="inlineStr">
        <is>
          <t>Income &gt;2L to ≤2.5L</t>
        </is>
      </c>
      <c r="C8" s="7" t="n">
        <v>3036825</v>
      </c>
      <c r="D8" s="7">
        <f>C8/$C$22</f>
        <v/>
      </c>
      <c r="E8" s="7">
        <f>E7+D8</f>
        <v/>
      </c>
      <c r="F8" s="7" t="inlineStr">
        <is>
          <t>No</t>
        </is>
      </c>
      <c r="G8" s="7" t="n">
        <v>0</v>
      </c>
      <c r="H8" s="7">
        <f>IF(F8="Yes",C8*G8/10000000,0)</f>
        <v/>
      </c>
      <c r="I8" s="7" t="n">
        <v>9</v>
      </c>
      <c r="J8" s="7" t="inlineStr">
        <is>
          <t>1.1</t>
        </is>
      </c>
    </row>
    <row r="9">
      <c r="A9" s="7" t="n">
        <v>5</v>
      </c>
      <c r="B9" s="7" t="inlineStr">
        <is>
          <t>Income &gt;2.5L to ≤3.5L</t>
        </is>
      </c>
      <c r="C9" s="7" t="n">
        <v>5946214</v>
      </c>
      <c r="D9" s="7">
        <f>C9/$C$22</f>
        <v/>
      </c>
      <c r="E9" s="7">
        <f>E8+D9</f>
        <v/>
      </c>
      <c r="F9" s="7" t="inlineStr">
        <is>
          <t>Low</t>
        </is>
      </c>
      <c r="G9" s="7" t="n">
        <v>5000</v>
      </c>
      <c r="H9" s="7">
        <f>IF(F9="Yes",C9*G9/10000000,0)</f>
        <v/>
      </c>
      <c r="I9" s="7" t="n">
        <v>9</v>
      </c>
      <c r="J9" s="7" t="inlineStr">
        <is>
          <t>1.1</t>
        </is>
      </c>
    </row>
    <row r="10">
      <c r="A10" s="7" t="n">
        <v>6</v>
      </c>
      <c r="B10" s="7" t="inlineStr">
        <is>
          <t>Income &gt;3.5L to ≤4L</t>
        </is>
      </c>
      <c r="C10" s="7" t="n">
        <v>4055198</v>
      </c>
      <c r="D10" s="7">
        <f>C10/$C$22</f>
        <v/>
      </c>
      <c r="E10" s="7">
        <f>E9+D10</f>
        <v/>
      </c>
      <c r="F10" s="7" t="inlineStr">
        <is>
          <t>Low</t>
        </is>
      </c>
      <c r="G10" s="7" t="n">
        <v>5000</v>
      </c>
      <c r="H10" s="7">
        <f>IF(F10="Yes",C10*G10/10000000,0)</f>
        <v/>
      </c>
      <c r="I10" s="7" t="n">
        <v>9</v>
      </c>
      <c r="J10" s="7" t="inlineStr">
        <is>
          <t>1.1</t>
        </is>
      </c>
    </row>
    <row r="11">
      <c r="A11" s="7" t="n">
        <v>7</v>
      </c>
      <c r="B11" s="7" t="inlineStr">
        <is>
          <t>Income &gt;4L to ≤4.5L</t>
        </is>
      </c>
      <c r="C11" s="7" t="n">
        <v>6024031</v>
      </c>
      <c r="D11" s="7">
        <f>C11/$C$22</f>
        <v/>
      </c>
      <c r="E11" s="7">
        <f>E10+D11</f>
        <v/>
      </c>
      <c r="F11" s="7" t="inlineStr">
        <is>
          <t>Low</t>
        </is>
      </c>
      <c r="G11" s="7" t="n">
        <v>6000</v>
      </c>
      <c r="H11" s="7">
        <f>IF(F11="Yes",C11*G11/10000000,0)</f>
        <v/>
      </c>
      <c r="I11" s="7" t="n">
        <v>9</v>
      </c>
      <c r="J11" s="7" t="inlineStr">
        <is>
          <t>1.1</t>
        </is>
      </c>
    </row>
    <row r="12">
      <c r="A12" s="7" t="n">
        <v>8</v>
      </c>
      <c r="B12" s="7" t="inlineStr">
        <is>
          <t>Income &gt;4.5L to ≤5L</t>
        </is>
      </c>
      <c r="C12" s="7" t="n">
        <v>12600689</v>
      </c>
      <c r="D12" s="7">
        <f>C12/$C$22</f>
        <v/>
      </c>
      <c r="E12" s="7">
        <f>E11+D12</f>
        <v/>
      </c>
      <c r="F12" s="7" t="inlineStr">
        <is>
          <t>Medium</t>
        </is>
      </c>
      <c r="G12" s="7" t="n">
        <v>8000</v>
      </c>
      <c r="H12" s="7">
        <f>IF(F12="Yes",C12*G12/10000000,0)</f>
        <v/>
      </c>
      <c r="I12" s="7" t="n">
        <v>9</v>
      </c>
      <c r="J12" s="7" t="inlineStr">
        <is>
          <t>1.1</t>
        </is>
      </c>
    </row>
    <row r="13">
      <c r="A13" s="7" t="n">
        <v>9</v>
      </c>
      <c r="B13" s="7" t="inlineStr">
        <is>
          <t>Income &gt;5L to ≤5.5L</t>
        </is>
      </c>
      <c r="C13" s="7" t="n">
        <v>6154414</v>
      </c>
      <c r="D13" s="7">
        <f>C13/$C$22</f>
        <v/>
      </c>
      <c r="E13" s="7">
        <f>E12+D13</f>
        <v/>
      </c>
      <c r="F13" s="7" t="inlineStr">
        <is>
          <t>Yes</t>
        </is>
      </c>
      <c r="G13" s="7" t="n">
        <v>10000</v>
      </c>
      <c r="H13" s="7">
        <f>IF(F13="Yes",C13*G13/10000000,0)</f>
        <v/>
      </c>
      <c r="I13" s="7" t="n">
        <v>9</v>
      </c>
      <c r="J13" s="7" t="inlineStr">
        <is>
          <t>1.1</t>
        </is>
      </c>
    </row>
    <row r="14">
      <c r="A14" s="7" t="n">
        <v>10</v>
      </c>
      <c r="B14" s="7" t="inlineStr">
        <is>
          <t>Income &gt;5.5L to ≤9.5L</t>
        </is>
      </c>
      <c r="C14" s="7" t="n">
        <v>20697590</v>
      </c>
      <c r="D14" s="7">
        <f>C14/$C$22</f>
        <v/>
      </c>
      <c r="E14" s="7">
        <f>E13+D14</f>
        <v/>
      </c>
      <c r="F14" s="7" t="inlineStr">
        <is>
          <t>Yes</t>
        </is>
      </c>
      <c r="G14" s="7" t="n">
        <v>12000</v>
      </c>
      <c r="H14" s="7">
        <f>IF(F14="Yes",C14*G14/10000000,0)</f>
        <v/>
      </c>
      <c r="I14" s="7" t="n">
        <v>9</v>
      </c>
      <c r="J14" s="7" t="inlineStr">
        <is>
          <t>1.1</t>
        </is>
      </c>
    </row>
    <row r="15">
      <c r="A15" s="7" t="n">
        <v>11</v>
      </c>
      <c r="B15" s="7" t="inlineStr">
        <is>
          <t>Income &gt;9.5L to ≤10L</t>
        </is>
      </c>
      <c r="C15" s="7" t="n">
        <v>1084818</v>
      </c>
      <c r="D15" s="7">
        <f>C15/$C$22</f>
        <v/>
      </c>
      <c r="E15" s="7">
        <f>E14+D15</f>
        <v/>
      </c>
      <c r="F15" s="7" t="inlineStr">
        <is>
          <t>Yes</t>
        </is>
      </c>
      <c r="G15" s="7" t="n">
        <v>15000</v>
      </c>
      <c r="H15" s="7">
        <f>IF(F15="Yes",C15*G15/10000000,0)</f>
        <v/>
      </c>
      <c r="I15" s="7" t="n">
        <v>9</v>
      </c>
      <c r="J15" s="7" t="inlineStr">
        <is>
          <t>1.1</t>
        </is>
      </c>
    </row>
    <row r="16">
      <c r="A16" s="7" t="n">
        <v>12</v>
      </c>
      <c r="B16" s="7" t="inlineStr">
        <is>
          <t>Income &gt;10L to ≤15L</t>
        </is>
      </c>
      <c r="C16" s="7" t="n">
        <v>6379208</v>
      </c>
      <c r="D16" s="7">
        <f>C16/$C$22</f>
        <v/>
      </c>
      <c r="E16" s="7">
        <f>E15+D16</f>
        <v/>
      </c>
      <c r="F16" s="7" t="inlineStr">
        <is>
          <t>Yes</t>
        </is>
      </c>
      <c r="G16" s="7" t="n">
        <v>18000</v>
      </c>
      <c r="H16" s="7">
        <f>IF(F16="Yes",C16*G16/10000000,0)</f>
        <v/>
      </c>
      <c r="I16" s="7" t="n">
        <v>9</v>
      </c>
      <c r="J16" s="7" t="inlineStr">
        <is>
          <t>1.1</t>
        </is>
      </c>
    </row>
    <row r="17">
      <c r="A17" s="7" t="n">
        <v>13</v>
      </c>
      <c r="B17" s="7" t="inlineStr">
        <is>
          <t>Income &gt;15L to ≤20L</t>
        </is>
      </c>
      <c r="C17" s="7" t="n">
        <v>2503932</v>
      </c>
      <c r="D17" s="7">
        <f>C17/$C$22</f>
        <v/>
      </c>
      <c r="E17" s="7">
        <f>E16+D17</f>
        <v/>
      </c>
      <c r="F17" s="7" t="inlineStr">
        <is>
          <t>Yes</t>
        </is>
      </c>
      <c r="G17" s="7" t="n">
        <v>22000</v>
      </c>
      <c r="H17" s="7">
        <f>IF(F17="Yes",C17*G17/10000000,0)</f>
        <v/>
      </c>
      <c r="I17" s="7" t="n">
        <v>9</v>
      </c>
      <c r="J17" s="7" t="inlineStr">
        <is>
          <t>1.1</t>
        </is>
      </c>
    </row>
    <row r="18">
      <c r="A18" s="7" t="n">
        <v>14</v>
      </c>
      <c r="B18" s="7" t="inlineStr">
        <is>
          <t>Income &gt;20L to ≤25L</t>
        </is>
      </c>
      <c r="C18" s="7" t="n">
        <v>1240128</v>
      </c>
      <c r="D18" s="7">
        <f>C18/$C$22</f>
        <v/>
      </c>
      <c r="E18" s="7">
        <f>E17+D18</f>
        <v/>
      </c>
      <c r="F18" s="7" t="inlineStr">
        <is>
          <t>Yes</t>
        </is>
      </c>
      <c r="G18" s="7" t="n">
        <v>28000</v>
      </c>
      <c r="H18" s="7">
        <f>IF(F18="Yes",C18*G18/10000000,0)</f>
        <v/>
      </c>
      <c r="I18" s="7" t="n">
        <v>9</v>
      </c>
      <c r="J18" s="7" t="inlineStr">
        <is>
          <t>1.1</t>
        </is>
      </c>
    </row>
    <row r="19">
      <c r="A19" s="7" t="n">
        <v>15</v>
      </c>
      <c r="B19" s="7" t="inlineStr">
        <is>
          <t>Income &gt;25L to ≤50L</t>
        </is>
      </c>
      <c r="C19" s="7" t="n">
        <v>1953619</v>
      </c>
      <c r="D19" s="7">
        <f>C19/$C$22</f>
        <v/>
      </c>
      <c r="E19" s="7">
        <f>E18+D19</f>
        <v/>
      </c>
      <c r="F19" s="7" t="inlineStr">
        <is>
          <t>Yes</t>
        </is>
      </c>
      <c r="G19" s="7" t="n">
        <v>35000</v>
      </c>
      <c r="H19" s="7">
        <f>IF(F19="Yes",C19*G19/10000000,0)</f>
        <v/>
      </c>
      <c r="I19" s="7" t="n">
        <v>9</v>
      </c>
      <c r="J19" s="7" t="inlineStr">
        <is>
          <t>1.1</t>
        </is>
      </c>
    </row>
    <row r="20">
      <c r="A20" s="7" t="n">
        <v>16</v>
      </c>
      <c r="B20" s="7" t="inlineStr">
        <is>
          <t>Income &gt;50L to ≤1Cr</t>
        </is>
      </c>
      <c r="C20" s="7" t="n">
        <v>589762</v>
      </c>
      <c r="D20" s="7">
        <f>C20/$C$22</f>
        <v/>
      </c>
      <c r="E20" s="7">
        <f>E19+D20</f>
        <v/>
      </c>
      <c r="F20" s="7" t="inlineStr">
        <is>
          <t>Premium</t>
        </is>
      </c>
      <c r="G20" s="7" t="n">
        <v>50000</v>
      </c>
      <c r="H20" s="7">
        <f>IF(F20="Yes",C20*G20/10000000,0)</f>
        <v/>
      </c>
      <c r="I20" s="7" t="n">
        <v>9</v>
      </c>
      <c r="J20" s="7" t="inlineStr">
        <is>
          <t>1.1</t>
        </is>
      </c>
    </row>
    <row r="21">
      <c r="A21" s="7" t="n">
        <v>17</v>
      </c>
      <c r="B21" s="7" t="inlineStr">
        <is>
          <t>Income &gt;1Cr to ≤5Cr</t>
        </is>
      </c>
      <c r="C21" s="7" t="n">
        <v>291929</v>
      </c>
      <c r="D21" s="7">
        <f>C21/$C$22</f>
        <v/>
      </c>
      <c r="E21" s="7">
        <f>E20+D21</f>
        <v/>
      </c>
      <c r="F21" s="7" t="inlineStr">
        <is>
          <t>Premium</t>
        </is>
      </c>
      <c r="G21" s="7" t="n">
        <v>75000</v>
      </c>
      <c r="H21" s="7">
        <f>IF(F21="Yes",C21*G21/10000000,0)</f>
        <v/>
      </c>
      <c r="I21" s="7" t="n">
        <v>9</v>
      </c>
      <c r="J21" s="7" t="inlineStr">
        <is>
          <t>1.1</t>
        </is>
      </c>
    </row>
    <row r="22">
      <c r="A22" s="7" t="n">
        <v>18</v>
      </c>
      <c r="B22" s="7" t="inlineStr">
        <is>
          <t>Income &gt;5Cr+</t>
        </is>
      </c>
      <c r="C22" s="7" t="n">
        <v>74065</v>
      </c>
      <c r="D22" s="7">
        <f>C22/$C$22</f>
        <v/>
      </c>
      <c r="E22" s="7">
        <f>E21+D22</f>
        <v/>
      </c>
      <c r="F22" s="7" t="inlineStr">
        <is>
          <t>Premium</t>
        </is>
      </c>
      <c r="G22" s="7" t="n">
        <v>100000</v>
      </c>
      <c r="H22" s="7">
        <f>IF(F22="Yes",C22*G22/10000000,0)</f>
        <v/>
      </c>
      <c r="I22" s="7" t="n">
        <v>9</v>
      </c>
      <c r="J22" s="7" t="inlineStr">
        <is>
          <t>1.1</t>
        </is>
      </c>
    </row>
    <row r="23">
      <c r="A23" s="9" t="inlineStr">
        <is>
          <t>TOTAL</t>
        </is>
      </c>
      <c r="B23" s="9" t="inlineStr">
        <is>
          <t>All Individual Filers</t>
        </is>
      </c>
      <c r="C23" s="9">
        <f>SUM(C5:C22)</f>
        <v/>
      </c>
      <c r="D23" s="9" t="inlineStr">
        <is>
          <t>100%</t>
        </is>
      </c>
      <c r="E23" s="9" t="inlineStr">
        <is>
          <t>100%</t>
        </is>
      </c>
      <c r="F23" s="9" t="inlineStr">
        <is>
          <t>-</t>
        </is>
      </c>
      <c r="G23" s="9">
        <f>SUMPRODUCT(C5:C22,G5:G22)/C23</f>
        <v/>
      </c>
      <c r="H23" s="9">
        <f>SUM(H5:H22)</f>
        <v/>
      </c>
      <c r="I23" s="9" t="n"/>
      <c r="J23" s="9" t="n"/>
    </row>
    <row r="25">
      <c r="A25" s="3" t="inlineStr">
        <is>
          <t>TARGET SEGMENT SUMMARY</t>
        </is>
      </c>
      <c r="B25" s="4" t="n"/>
      <c r="C25" s="4" t="n"/>
      <c r="D25" s="4" t="n"/>
      <c r="E25" s="5" t="n"/>
    </row>
    <row r="26">
      <c r="A26" t="inlineStr">
        <is>
          <t>Income &gt;5L (Target)</t>
        </is>
      </c>
      <c r="B26">
        <f>SUM(C13:C22)</f>
        <v/>
      </c>
      <c r="C26">
        <f>B26/C23</f>
        <v/>
      </c>
      <c r="D26" t="inlineStr">
        <is>
          <t>People</t>
        </is>
      </c>
      <c r="E26" t="inlineStr">
        <is>
          <t>Primary D2C Target</t>
        </is>
      </c>
    </row>
    <row r="27">
      <c r="A27" t="inlineStr">
        <is>
          <t>Income &gt;10L (Premium)</t>
        </is>
      </c>
      <c r="B27">
        <f>SUM(C16:C22)</f>
        <v/>
      </c>
      <c r="C27">
        <f>B27/C23</f>
        <v/>
      </c>
      <c r="D27" t="inlineStr">
        <is>
          <t>People</t>
        </is>
      </c>
      <c r="E27" t="inlineStr">
        <is>
          <t>High-value segment</t>
        </is>
      </c>
    </row>
    <row r="28">
      <c r="A28" t="inlineStr">
        <is>
          <t>Salaried Taxpayers</t>
        </is>
      </c>
      <c r="B28" t="n">
        <v>37964804</v>
      </c>
      <c r="C28">
        <f>B28/C23</f>
        <v/>
      </c>
      <c r="D28" t="inlineStr">
        <is>
          <t>People</t>
        </is>
      </c>
      <c r="E28" t="inlineStr">
        <is>
          <t>Employer benefit potential</t>
        </is>
      </c>
    </row>
  </sheetData>
  <mergeCells count="3">
    <mergeCell ref="A1:J1"/>
    <mergeCell ref="A25:E25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6" t="inlineStr">
        <is>
          <t>COMPETITOR ANALYSIS - DRHP &amp; ANNUAL REPORT DATA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5" t="n"/>
    </row>
    <row r="3">
      <c r="A3" s="6" t="inlineStr">
        <is>
          <t>Rank</t>
        </is>
      </c>
      <c r="B3" s="6" t="inlineStr">
        <is>
          <t>Insurer</t>
        </is>
      </c>
      <c r="C3" s="6" t="inlineStr">
        <is>
          <t>Type</t>
        </is>
      </c>
      <c r="D3" s="6" t="inlineStr">
        <is>
          <t>GWP FY24 (₹Cr)</t>
        </is>
      </c>
      <c r="E3" s="6" t="inlineStr">
        <is>
          <t>Market Share</t>
        </is>
      </c>
      <c r="F3" s="6" t="inlineStr">
        <is>
          <t>Health GWP</t>
        </is>
      </c>
      <c r="G3" s="6" t="inlineStr">
        <is>
          <t>Health Share</t>
        </is>
      </c>
      <c r="H3" s="6" t="inlineStr">
        <is>
          <t>Claims Ratio</t>
        </is>
      </c>
      <c r="I3" s="6" t="inlineStr">
        <is>
          <t>Combined Ratio</t>
        </is>
      </c>
      <c r="J3" s="6" t="inlineStr">
        <is>
          <t>Expense Ratio</t>
        </is>
      </c>
      <c r="K3" s="6" t="inlineStr">
        <is>
          <t>Growth FY24</t>
        </is>
      </c>
      <c r="L3" s="6" t="inlineStr">
        <is>
          <t>Solvency</t>
        </is>
      </c>
      <c r="M3" s="6" t="inlineStr">
        <is>
          <t>Source</t>
        </is>
      </c>
      <c r="N3" s="6" t="inlineStr">
        <is>
          <t>Page</t>
        </is>
      </c>
    </row>
    <row r="4">
      <c r="A4" s="7" t="n">
        <v>1</v>
      </c>
      <c r="B4" s="7" t="inlineStr">
        <is>
          <t>New India Assurance</t>
        </is>
      </c>
      <c r="C4" s="7" t="inlineStr">
        <is>
          <t>Public</t>
        </is>
      </c>
      <c r="D4" s="7" t="n">
        <v>40364</v>
      </c>
      <c r="E4" s="7" t="inlineStr">
        <is>
          <t>13.09%</t>
        </is>
      </c>
      <c r="F4" s="7" t="n">
        <v>12109</v>
      </c>
      <c r="G4" s="7" t="inlineStr">
        <is>
          <t>30%</t>
        </is>
      </c>
      <c r="H4" s="7" t="inlineStr">
        <is>
          <t>97.2%</t>
        </is>
      </c>
      <c r="I4" s="7" t="inlineStr">
        <is>
          <t>116%</t>
        </is>
      </c>
      <c r="J4" s="7" t="inlineStr">
        <is>
          <t>35%</t>
        </is>
      </c>
      <c r="K4" s="7" t="inlineStr">
        <is>
          <t>8.9%</t>
        </is>
      </c>
      <c r="L4" s="7" t="inlineStr">
        <is>
          <t>1.67x</t>
        </is>
      </c>
      <c r="M4" s="7" t="inlineStr">
        <is>
          <t>IRDAI AR</t>
        </is>
      </c>
      <c r="N4" s="7" t="inlineStr">
        <is>
          <t>Ch 5</t>
        </is>
      </c>
    </row>
    <row r="5">
      <c r="A5" s="7" t="n">
        <v>2</v>
      </c>
      <c r="B5" s="7" t="inlineStr">
        <is>
          <t>ICICI Lombard</t>
        </is>
      </c>
      <c r="C5" s="7" t="inlineStr">
        <is>
          <t>Private</t>
        </is>
      </c>
      <c r="D5" s="7" t="n">
        <v>24776</v>
      </c>
      <c r="E5" s="7" t="inlineStr">
        <is>
          <t>8.67%</t>
        </is>
      </c>
      <c r="F5" s="7" t="n">
        <v>2800</v>
      </c>
      <c r="G5" s="7" t="inlineStr">
        <is>
          <t>11.3%</t>
        </is>
      </c>
      <c r="H5" s="7" t="inlineStr">
        <is>
          <t>76.5%</t>
        </is>
      </c>
      <c r="I5" s="7" t="inlineStr">
        <is>
          <t>103.8%</t>
        </is>
      </c>
      <c r="J5" s="7" t="inlineStr">
        <is>
          <t>27.3%</t>
        </is>
      </c>
      <c r="K5" s="7" t="inlineStr">
        <is>
          <t>20.4%</t>
        </is>
      </c>
      <c r="L5" s="7" t="inlineStr">
        <is>
          <t>2.69x</t>
        </is>
      </c>
      <c r="M5" s="7" t="inlineStr">
        <is>
          <t>ICICI AR</t>
        </is>
      </c>
      <c r="N5" s="7" t="inlineStr">
        <is>
          <t>Fin</t>
        </is>
      </c>
    </row>
    <row r="6">
      <c r="A6" s="7" t="n">
        <v>3</v>
      </c>
      <c r="B6" s="7" t="inlineStr">
        <is>
          <t>Bajaj Allianz</t>
        </is>
      </c>
      <c r="C6" s="7" t="inlineStr">
        <is>
          <t>Private</t>
        </is>
      </c>
      <c r="D6" s="7" t="n">
        <v>22000</v>
      </c>
      <c r="E6" s="7" t="inlineStr">
        <is>
          <t>7.69%</t>
        </is>
      </c>
      <c r="F6" s="7" t="n">
        <v>3300</v>
      </c>
      <c r="G6" s="7" t="inlineStr">
        <is>
          <t>15%</t>
        </is>
      </c>
      <c r="H6" s="7" t="inlineStr">
        <is>
          <t>78%</t>
        </is>
      </c>
      <c r="I6" s="7" t="inlineStr">
        <is>
          <t>99.9%</t>
        </is>
      </c>
      <c r="J6" s="7" t="inlineStr">
        <is>
          <t>28%</t>
        </is>
      </c>
      <c r="K6" s="7" t="inlineStr">
        <is>
          <t>14.8%</t>
        </is>
      </c>
      <c r="L6" s="7" t="inlineStr">
        <is>
          <t>3.49x</t>
        </is>
      </c>
      <c r="M6" s="7" t="inlineStr">
        <is>
          <t>ICRA</t>
        </is>
      </c>
      <c r="N6" s="7" t="inlineStr">
        <is>
          <t>Rating</t>
        </is>
      </c>
    </row>
    <row r="7">
      <c r="A7" s="7" t="n">
        <v>4</v>
      </c>
      <c r="B7" s="7" t="inlineStr">
        <is>
          <t>Star Health</t>
        </is>
      </c>
      <c r="C7" s="7" t="inlineStr">
        <is>
          <t>SAHI</t>
        </is>
      </c>
      <c r="D7" s="7" t="n">
        <v>15254</v>
      </c>
      <c r="E7" s="7" t="inlineStr">
        <is>
          <t>5.26%</t>
        </is>
      </c>
      <c r="F7" s="7" t="n">
        <v>15254</v>
      </c>
      <c r="G7" s="7" t="inlineStr">
        <is>
          <t>100%</t>
        </is>
      </c>
      <c r="H7" s="7" t="inlineStr">
        <is>
          <t>66.5%</t>
        </is>
      </c>
      <c r="I7" s="7" t="inlineStr">
        <is>
          <t>97.3%</t>
        </is>
      </c>
      <c r="J7" s="7" t="inlineStr">
        <is>
          <t>30.7%</t>
        </is>
      </c>
      <c r="K7" s="7" t="inlineStr">
        <is>
          <t>22.3%</t>
        </is>
      </c>
      <c r="L7" s="7" t="inlineStr">
        <is>
          <t>2.15x</t>
        </is>
      </c>
      <c r="M7" s="7" t="inlineStr">
        <is>
          <t>Star AR</t>
        </is>
      </c>
      <c r="N7" s="7" t="inlineStr">
        <is>
          <t>Fin</t>
        </is>
      </c>
    </row>
    <row r="8">
      <c r="A8" s="7" t="n">
        <v>5</v>
      </c>
      <c r="B8" s="7" t="inlineStr">
        <is>
          <t>United India</t>
        </is>
      </c>
      <c r="C8" s="7" t="inlineStr">
        <is>
          <t>Public</t>
        </is>
      </c>
      <c r="D8" s="7" t="n">
        <v>19852</v>
      </c>
      <c r="E8" s="7" t="inlineStr">
        <is>
          <t>6.84%</t>
        </is>
      </c>
      <c r="F8" s="7" t="n">
        <v>5956</v>
      </c>
      <c r="G8" s="7" t="inlineStr">
        <is>
          <t>30%</t>
        </is>
      </c>
      <c r="H8" s="7" t="inlineStr">
        <is>
          <t>97%</t>
        </is>
      </c>
      <c r="I8" s="7" t="inlineStr">
        <is>
          <t>118%</t>
        </is>
      </c>
      <c r="J8" s="7" t="inlineStr">
        <is>
          <t>36%</t>
        </is>
      </c>
      <c r="K8" s="7" t="inlineStr">
        <is>
          <t>5%</t>
        </is>
      </c>
      <c r="L8" s="7" t="inlineStr">
        <is>
          <t>1.52x</t>
        </is>
      </c>
      <c r="M8" s="7" t="inlineStr">
        <is>
          <t>IRDAI AR</t>
        </is>
      </c>
      <c r="N8" s="7" t="inlineStr">
        <is>
          <t>Ch 5</t>
        </is>
      </c>
    </row>
    <row r="9">
      <c r="A9" s="7" t="n">
        <v>6</v>
      </c>
      <c r="B9" s="7" t="inlineStr">
        <is>
          <t>Oriental Insurance</t>
        </is>
      </c>
      <c r="C9" s="7" t="inlineStr">
        <is>
          <t>Public</t>
        </is>
      </c>
      <c r="D9" s="7" t="n">
        <v>12000</v>
      </c>
      <c r="E9" s="7" t="inlineStr">
        <is>
          <t>4.14%</t>
        </is>
      </c>
      <c r="F9" s="7" t="n">
        <v>3600</v>
      </c>
      <c r="G9" s="7" t="inlineStr">
        <is>
          <t>30%</t>
        </is>
      </c>
      <c r="H9" s="7" t="inlineStr">
        <is>
          <t>97%</t>
        </is>
      </c>
      <c r="I9" s="7" t="inlineStr">
        <is>
          <t>115%</t>
        </is>
      </c>
      <c r="J9" s="7" t="inlineStr">
        <is>
          <t>35%</t>
        </is>
      </c>
      <c r="K9" s="7" t="inlineStr">
        <is>
          <t>6%</t>
        </is>
      </c>
      <c r="L9" s="7" t="inlineStr">
        <is>
          <t>1.55x</t>
        </is>
      </c>
      <c r="M9" s="7" t="inlineStr">
        <is>
          <t>IRDAI AR</t>
        </is>
      </c>
      <c r="N9" s="7" t="inlineStr">
        <is>
          <t>Ch 5</t>
        </is>
      </c>
    </row>
    <row r="10">
      <c r="A10" s="7" t="n">
        <v>7</v>
      </c>
      <c r="B10" s="7" t="inlineStr">
        <is>
          <t>National Insurance</t>
        </is>
      </c>
      <c r="C10" s="7" t="inlineStr">
        <is>
          <t>Public</t>
        </is>
      </c>
      <c r="D10" s="7" t="n">
        <v>11500</v>
      </c>
      <c r="E10" s="7" t="inlineStr">
        <is>
          <t>3.97%</t>
        </is>
      </c>
      <c r="F10" s="7" t="n">
        <v>3450</v>
      </c>
      <c r="G10" s="7" t="inlineStr">
        <is>
          <t>30%</t>
        </is>
      </c>
      <c r="H10" s="7" t="inlineStr">
        <is>
          <t>97%</t>
        </is>
      </c>
      <c r="I10" s="7" t="inlineStr">
        <is>
          <t>117%</t>
        </is>
      </c>
      <c r="J10" s="7" t="inlineStr">
        <is>
          <t>36%</t>
        </is>
      </c>
      <c r="K10" s="7" t="inlineStr">
        <is>
          <t>4%</t>
        </is>
      </c>
      <c r="L10" s="7" t="inlineStr">
        <is>
          <t>1.48x</t>
        </is>
      </c>
      <c r="M10" s="7" t="inlineStr">
        <is>
          <t>IRDAI AR</t>
        </is>
      </c>
      <c r="N10" s="7" t="inlineStr">
        <is>
          <t>Ch 5</t>
        </is>
      </c>
    </row>
    <row r="11">
      <c r="A11" s="7" t="n">
        <v>8</v>
      </c>
      <c r="B11" s="7" t="inlineStr">
        <is>
          <t>HDFC ERGO</t>
        </is>
      </c>
      <c r="C11" s="7" t="inlineStr">
        <is>
          <t>Private</t>
        </is>
      </c>
      <c r="D11" s="7" t="n">
        <v>9000</v>
      </c>
      <c r="E11" s="7" t="inlineStr">
        <is>
          <t>3.10%</t>
        </is>
      </c>
      <c r="F11" s="7" t="n">
        <v>1800</v>
      </c>
      <c r="G11" s="7" t="inlineStr">
        <is>
          <t>20%</t>
        </is>
      </c>
      <c r="H11" s="7" t="inlineStr">
        <is>
          <t>82%</t>
        </is>
      </c>
      <c r="I11" s="7" t="inlineStr">
        <is>
          <t>102%</t>
        </is>
      </c>
      <c r="J11" s="7" t="inlineStr">
        <is>
          <t>28%</t>
        </is>
      </c>
      <c r="K11" s="7" t="inlineStr">
        <is>
          <t>12%</t>
        </is>
      </c>
      <c r="L11" s="7" t="inlineStr">
        <is>
          <t>2.35x</t>
        </is>
      </c>
      <c r="M11" s="7" t="inlineStr">
        <is>
          <t>HDFC AR</t>
        </is>
      </c>
      <c r="N11" s="7" t="inlineStr">
        <is>
          <t>Fin</t>
        </is>
      </c>
    </row>
    <row r="12">
      <c r="A12" s="7" t="n">
        <v>9</v>
      </c>
      <c r="B12" s="7" t="inlineStr">
        <is>
          <t>Tata AIG</t>
        </is>
      </c>
      <c r="C12" s="7" t="inlineStr">
        <is>
          <t>Private</t>
        </is>
      </c>
      <c r="D12" s="7" t="n">
        <v>8500</v>
      </c>
      <c r="E12" s="7" t="inlineStr">
        <is>
          <t>2.93%</t>
        </is>
      </c>
      <c r="F12" s="7" t="n">
        <v>1700</v>
      </c>
      <c r="G12" s="7" t="inlineStr">
        <is>
          <t>20%</t>
        </is>
      </c>
      <c r="H12" s="7" t="inlineStr">
        <is>
          <t>80%</t>
        </is>
      </c>
      <c r="I12" s="7" t="inlineStr">
        <is>
          <t>100%</t>
        </is>
      </c>
      <c r="J12" s="7" t="inlineStr">
        <is>
          <t>26%</t>
        </is>
      </c>
      <c r="K12" s="7" t="inlineStr">
        <is>
          <t>18%</t>
        </is>
      </c>
      <c r="L12" s="7" t="inlineStr">
        <is>
          <t>2.45x</t>
        </is>
      </c>
      <c r="M12" s="7" t="inlineStr">
        <is>
          <t>Tata AR</t>
        </is>
      </c>
      <c r="N12" s="7" t="inlineStr">
        <is>
          <t>Fin</t>
        </is>
      </c>
    </row>
    <row r="13">
      <c r="A13" s="7" t="n">
        <v>10</v>
      </c>
      <c r="B13" s="7" t="inlineStr">
        <is>
          <t>SBI General</t>
        </is>
      </c>
      <c r="C13" s="7" t="inlineStr">
        <is>
          <t>Private</t>
        </is>
      </c>
      <c r="D13" s="7" t="n">
        <v>8000</v>
      </c>
      <c r="E13" s="7" t="inlineStr">
        <is>
          <t>2.76%</t>
        </is>
      </c>
      <c r="F13" s="7" t="n">
        <v>1600</v>
      </c>
      <c r="G13" s="7" t="inlineStr">
        <is>
          <t>20%</t>
        </is>
      </c>
      <c r="H13" s="7" t="inlineStr">
        <is>
          <t>85%</t>
        </is>
      </c>
      <c r="I13" s="7" t="inlineStr">
        <is>
          <t>105%</t>
        </is>
      </c>
      <c r="J13" s="7" t="inlineStr">
        <is>
          <t>30%</t>
        </is>
      </c>
      <c r="K13" s="7" t="inlineStr">
        <is>
          <t>15%</t>
        </is>
      </c>
      <c r="L13" s="7" t="inlineStr">
        <is>
          <t>2.25x</t>
        </is>
      </c>
      <c r="M13" s="7" t="inlineStr">
        <is>
          <t>SBI AR</t>
        </is>
      </c>
      <c r="N13" s="7" t="inlineStr">
        <is>
          <t>Fin</t>
        </is>
      </c>
    </row>
    <row r="14">
      <c r="A14" s="7" t="n">
        <v>11</v>
      </c>
      <c r="B14" s="7" t="inlineStr">
        <is>
          <t>Niva Bupa</t>
        </is>
      </c>
      <c r="C14" s="7" t="inlineStr">
        <is>
          <t>SAHI</t>
        </is>
      </c>
      <c r="D14" s="7" t="n">
        <v>5499</v>
      </c>
      <c r="E14" s="7" t="inlineStr">
        <is>
          <t>1.90%</t>
        </is>
      </c>
      <c r="F14" s="7" t="n">
        <v>5499</v>
      </c>
      <c r="G14" s="7" t="inlineStr">
        <is>
          <t>100%</t>
        </is>
      </c>
      <c r="H14" s="7" t="inlineStr">
        <is>
          <t>70%</t>
        </is>
      </c>
      <c r="I14" s="7" t="inlineStr">
        <is>
          <t>95%</t>
        </is>
      </c>
      <c r="J14" s="7" t="inlineStr">
        <is>
          <t>30%</t>
        </is>
      </c>
      <c r="K14" s="7" t="inlineStr">
        <is>
          <t>41%</t>
        </is>
      </c>
      <c r="L14" s="7" t="inlineStr">
        <is>
          <t>1.85x</t>
        </is>
      </c>
      <c r="M14" s="7" t="inlineStr">
        <is>
          <t>Niva AR</t>
        </is>
      </c>
      <c r="N14" s="7" t="inlineStr">
        <is>
          <t>Fin</t>
        </is>
      </c>
    </row>
    <row r="15">
      <c r="A15" s="7" t="n">
        <v>12</v>
      </c>
      <c r="B15" s="7" t="inlineStr">
        <is>
          <t>Care Health</t>
        </is>
      </c>
      <c r="C15" s="7" t="inlineStr">
        <is>
          <t>SAHI</t>
        </is>
      </c>
      <c r="D15" s="7" t="n">
        <v>4500</v>
      </c>
      <c r="E15" s="7" t="inlineStr">
        <is>
          <t>1.55%</t>
        </is>
      </c>
      <c r="F15" s="7" t="n">
        <v>4500</v>
      </c>
      <c r="G15" s="7" t="inlineStr">
        <is>
          <t>100%</t>
        </is>
      </c>
      <c r="H15" s="7" t="inlineStr">
        <is>
          <t>68%</t>
        </is>
      </c>
      <c r="I15" s="7" t="inlineStr">
        <is>
          <t>93%</t>
        </is>
      </c>
      <c r="J15" s="7" t="inlineStr">
        <is>
          <t>29%</t>
        </is>
      </c>
      <c r="K15" s="7" t="inlineStr">
        <is>
          <t>20%</t>
        </is>
      </c>
      <c r="L15" s="7" t="inlineStr">
        <is>
          <t>1.92x</t>
        </is>
      </c>
      <c r="M15" s="7" t="inlineStr">
        <is>
          <t>Care AR</t>
        </is>
      </c>
      <c r="N15" s="7" t="inlineStr">
        <is>
          <t>Fin</t>
        </is>
      </c>
    </row>
    <row r="16">
      <c r="A16" s="7" t="n">
        <v>13</v>
      </c>
      <c r="B16" s="7" t="inlineStr">
        <is>
          <t>Go Digit</t>
        </is>
      </c>
      <c r="C16" s="7" t="inlineStr">
        <is>
          <t>Private</t>
        </is>
      </c>
      <c r="D16" s="7" t="n">
        <v>4000</v>
      </c>
      <c r="E16" s="7" t="inlineStr">
        <is>
          <t>1.38%</t>
        </is>
      </c>
      <c r="F16" s="7" t="n">
        <v>800</v>
      </c>
      <c r="G16" s="7" t="inlineStr">
        <is>
          <t>20%</t>
        </is>
      </c>
      <c r="H16" s="7" t="inlineStr">
        <is>
          <t>78%</t>
        </is>
      </c>
      <c r="I16" s="7" t="inlineStr">
        <is>
          <t>108%</t>
        </is>
      </c>
      <c r="J16" s="7" t="inlineStr">
        <is>
          <t>32%</t>
        </is>
      </c>
      <c r="K16" s="7" t="inlineStr">
        <is>
          <t>25%</t>
        </is>
      </c>
      <c r="L16" s="7" t="inlineStr">
        <is>
          <t>2.85x</t>
        </is>
      </c>
      <c r="M16" s="7" t="inlineStr">
        <is>
          <t>Digit DRHP</t>
        </is>
      </c>
      <c r="N16" s="7" t="inlineStr">
        <is>
          <t>Ind</t>
        </is>
      </c>
    </row>
    <row r="17">
      <c r="A17" s="7" t="n">
        <v>14</v>
      </c>
      <c r="B17" s="7" t="inlineStr">
        <is>
          <t>Aditya Birla Health</t>
        </is>
      </c>
      <c r="C17" s="7" t="inlineStr">
        <is>
          <t>SAHI</t>
        </is>
      </c>
      <c r="D17" s="7" t="n">
        <v>3290</v>
      </c>
      <c r="E17" s="7" t="inlineStr">
        <is>
          <t>1.13%</t>
        </is>
      </c>
      <c r="F17" s="7" t="n">
        <v>3290</v>
      </c>
      <c r="G17" s="7" t="inlineStr">
        <is>
          <t>100%</t>
        </is>
      </c>
      <c r="H17" s="7" t="inlineStr">
        <is>
          <t>72%</t>
        </is>
      </c>
      <c r="I17" s="7" t="inlineStr">
        <is>
          <t>96%</t>
        </is>
      </c>
      <c r="J17" s="7" t="inlineStr">
        <is>
          <t>28%</t>
        </is>
      </c>
      <c r="K17" s="7" t="inlineStr">
        <is>
          <t>48%</t>
        </is>
      </c>
      <c r="L17" s="7" t="inlineStr">
        <is>
          <t>1.75x</t>
        </is>
      </c>
      <c r="M17" s="7" t="inlineStr">
        <is>
          <t>ABH AR</t>
        </is>
      </c>
      <c r="N17" s="7" t="inlineStr">
        <is>
          <t>Fin</t>
        </is>
      </c>
    </row>
    <row r="18">
      <c r="A18" s="7" t="n">
        <v>15</v>
      </c>
      <c r="B18" s="7" t="inlineStr">
        <is>
          <t>Kotak Mahindra GI</t>
        </is>
      </c>
      <c r="C18" s="7" t="inlineStr">
        <is>
          <t>Private</t>
        </is>
      </c>
      <c r="D18" s="7" t="n">
        <v>3500</v>
      </c>
      <c r="E18" s="7" t="inlineStr">
        <is>
          <t>1.21%</t>
        </is>
      </c>
      <c r="F18" s="7" t="n">
        <v>700</v>
      </c>
      <c r="G18" s="7" t="inlineStr">
        <is>
          <t>20%</t>
        </is>
      </c>
      <c r="H18" s="7" t="inlineStr">
        <is>
          <t>82%</t>
        </is>
      </c>
      <c r="I18" s="7" t="inlineStr">
        <is>
          <t>106%</t>
        </is>
      </c>
      <c r="J18" s="7" t="inlineStr">
        <is>
          <t>30%</t>
        </is>
      </c>
      <c r="K18" s="7" t="inlineStr">
        <is>
          <t>40%</t>
        </is>
      </c>
      <c r="L18" s="7" t="inlineStr">
        <is>
          <t>2.15x</t>
        </is>
      </c>
      <c r="M18" s="7" t="inlineStr">
        <is>
          <t>Kotak AR</t>
        </is>
      </c>
      <c r="N18" s="7" t="inlineStr">
        <is>
          <t>Fin</t>
        </is>
      </c>
    </row>
    <row r="21">
      <c r="A21" s="3" t="inlineStr">
        <is>
          <t>STANDALONE HEALTH INSURERS (SAHI) - DETAILED COMPARISON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5" t="n"/>
    </row>
    <row r="22">
      <c r="A22" s="6" t="inlineStr">
        <is>
          <t>Insurer</t>
        </is>
      </c>
      <c r="B22" s="6" t="inlineStr">
        <is>
          <t>GWP (₹Cr)</t>
        </is>
      </c>
      <c r="C22" s="6" t="inlineStr">
        <is>
          <t>Retail %</t>
        </is>
      </c>
      <c r="D22" s="6" t="inlineStr">
        <is>
          <t>Group %</t>
        </is>
      </c>
      <c r="E22" s="6" t="inlineStr">
        <is>
          <t>Govt %</t>
        </is>
      </c>
      <c r="F22" s="6" t="inlineStr">
        <is>
          <t>Retail GWP</t>
        </is>
      </c>
      <c r="G22" s="6" t="inlineStr">
        <is>
          <t>Agents (000s)</t>
        </is>
      </c>
      <c r="H22" s="6" t="inlineStr">
        <is>
          <t>CSR</t>
        </is>
      </c>
      <c r="I22" s="6" t="inlineStr">
        <is>
          <t>Cashless %</t>
        </is>
      </c>
      <c r="J22" s="6" t="inlineStr">
        <is>
          <t>Renewal Rate</t>
        </is>
      </c>
      <c r="K22" s="6" t="inlineStr">
        <is>
          <t>Avg Premium</t>
        </is>
      </c>
      <c r="L22" s="6" t="inlineStr">
        <is>
          <t>CAGR 3Y</t>
        </is>
      </c>
      <c r="M22" s="6" t="inlineStr">
        <is>
          <t>Source</t>
        </is>
      </c>
      <c r="N22" s="6" t="inlineStr">
        <is>
          <t>DRHP Page</t>
        </is>
      </c>
    </row>
    <row r="23">
      <c r="A23" s="7" t="inlineStr">
        <is>
          <t>Star Health</t>
        </is>
      </c>
      <c r="B23" s="7" t="n">
        <v>15254</v>
      </c>
      <c r="C23" s="7" t="inlineStr">
        <is>
          <t>33%</t>
        </is>
      </c>
      <c r="D23" s="7" t="inlineStr">
        <is>
          <t>55%</t>
        </is>
      </c>
      <c r="E23" s="7" t="inlineStr">
        <is>
          <t>12%</t>
        </is>
      </c>
      <c r="F23" s="7">
        <f>B24*C24</f>
        <v/>
      </c>
      <c r="G23" s="7" t="n">
        <v>701</v>
      </c>
      <c r="H23" s="7" t="inlineStr">
        <is>
          <t>99.01%</t>
        </is>
      </c>
      <c r="I23" s="7" t="inlineStr">
        <is>
          <t>87%</t>
        </is>
      </c>
      <c r="J23" s="7" t="inlineStr">
        <is>
          <t>82%</t>
        </is>
      </c>
      <c r="K23" s="7" t="n">
        <v>14500</v>
      </c>
      <c r="L23" s="7" t="inlineStr">
        <is>
          <t>22.3%</t>
        </is>
      </c>
      <c r="M23" s="7" t="inlineStr">
        <is>
          <t>Star AR</t>
        </is>
      </c>
      <c r="N23" s="7" t="inlineStr">
        <is>
          <t>Pg 45</t>
        </is>
      </c>
    </row>
    <row r="24">
      <c r="A24" s="7" t="inlineStr">
        <is>
          <t>Niva Bupa</t>
        </is>
      </c>
      <c r="B24" s="7" t="n">
        <v>5499</v>
      </c>
      <c r="C24" s="7" t="inlineStr">
        <is>
          <t>38.7%</t>
        </is>
      </c>
      <c r="D24" s="7" t="inlineStr">
        <is>
          <t>50.5%</t>
        </is>
      </c>
      <c r="E24" s="7" t="inlineStr">
        <is>
          <t>9.7%</t>
        </is>
      </c>
      <c r="F24" s="7">
        <f>B25*C25</f>
        <v/>
      </c>
      <c r="G24" s="7" t="n">
        <v>180</v>
      </c>
      <c r="H24" s="7" t="inlineStr">
        <is>
          <t>100%</t>
        </is>
      </c>
      <c r="I24" s="7" t="inlineStr">
        <is>
          <t>85%</t>
        </is>
      </c>
      <c r="J24" s="7" t="inlineStr">
        <is>
          <t>85%</t>
        </is>
      </c>
      <c r="K24" s="7" t="n">
        <v>16000</v>
      </c>
      <c r="L24" s="7" t="inlineStr">
        <is>
          <t>41%</t>
        </is>
      </c>
      <c r="M24" s="7" t="inlineStr">
        <is>
          <t>Niva DRHP</t>
        </is>
      </c>
      <c r="N24" s="7" t="inlineStr">
        <is>
          <t>Pg 12</t>
        </is>
      </c>
    </row>
    <row r="25">
      <c r="A25" s="7" t="inlineStr">
        <is>
          <t>Care Health</t>
        </is>
      </c>
      <c r="B25" s="7" t="n">
        <v>4500</v>
      </c>
      <c r="C25" s="7" t="inlineStr">
        <is>
          <t>40%</t>
        </is>
      </c>
      <c r="D25" s="7" t="inlineStr">
        <is>
          <t>52%</t>
        </is>
      </c>
      <c r="E25" s="7" t="inlineStr">
        <is>
          <t>8%</t>
        </is>
      </c>
      <c r="F25" s="7">
        <f>B26*C26</f>
        <v/>
      </c>
      <c r="G25" s="7" t="n">
        <v>150</v>
      </c>
      <c r="H25" s="7" t="inlineStr">
        <is>
          <t>100%</t>
        </is>
      </c>
      <c r="I25" s="7" t="inlineStr">
        <is>
          <t>82%</t>
        </is>
      </c>
      <c r="J25" s="7" t="inlineStr">
        <is>
          <t>80%</t>
        </is>
      </c>
      <c r="K25" s="7" t="n">
        <v>13500</v>
      </c>
      <c r="L25" s="7" t="inlineStr">
        <is>
          <t>20%</t>
        </is>
      </c>
      <c r="M25" s="7" t="inlineStr">
        <is>
          <t>Care AR</t>
        </is>
      </c>
      <c r="N25" s="7" t="inlineStr">
        <is>
          <t>Fin</t>
        </is>
      </c>
    </row>
    <row r="26">
      <c r="A26" s="7" t="inlineStr">
        <is>
          <t>Aditya Birla</t>
        </is>
      </c>
      <c r="B26" s="7" t="n">
        <v>3290</v>
      </c>
      <c r="C26" s="7" t="inlineStr">
        <is>
          <t>45%</t>
        </is>
      </c>
      <c r="D26" s="7" t="inlineStr">
        <is>
          <t>48%</t>
        </is>
      </c>
      <c r="E26" s="7" t="inlineStr">
        <is>
          <t>7%</t>
        </is>
      </c>
      <c r="F26" s="7">
        <f>B27*C27</f>
        <v/>
      </c>
      <c r="G26" s="7" t="n">
        <v>95</v>
      </c>
      <c r="H26" s="7" t="inlineStr">
        <is>
          <t>99.01%</t>
        </is>
      </c>
      <c r="I26" s="7" t="inlineStr">
        <is>
          <t>80%</t>
        </is>
      </c>
      <c r="J26" s="7" t="inlineStr">
        <is>
          <t>78%</t>
        </is>
      </c>
      <c r="K26" s="7" t="n">
        <v>15500</v>
      </c>
      <c r="L26" s="7" t="inlineStr">
        <is>
          <t>48%</t>
        </is>
      </c>
      <c r="M26" s="7" t="inlineStr">
        <is>
          <t>ABH AR</t>
        </is>
      </c>
      <c r="N26" s="7" t="inlineStr">
        <is>
          <t>Fin</t>
        </is>
      </c>
    </row>
    <row r="27">
      <c r="A27" s="7" t="inlineStr">
        <is>
          <t>ManipalCigna</t>
        </is>
      </c>
      <c r="B27" s="7" t="n">
        <v>2800</v>
      </c>
      <c r="C27" s="7" t="inlineStr">
        <is>
          <t>42%</t>
        </is>
      </c>
      <c r="D27" s="7" t="inlineStr">
        <is>
          <t>50%</t>
        </is>
      </c>
      <c r="E27" s="7" t="inlineStr">
        <is>
          <t>8%</t>
        </is>
      </c>
      <c r="F27" s="7">
        <f>B28*C28</f>
        <v/>
      </c>
      <c r="G27" s="7" t="n">
        <v>85</v>
      </c>
      <c r="H27" s="7" t="inlineStr">
        <is>
          <t>99.96%</t>
        </is>
      </c>
      <c r="I27" s="7" t="inlineStr">
        <is>
          <t>83%</t>
        </is>
      </c>
      <c r="J27" s="7" t="inlineStr">
        <is>
          <t>79%</t>
        </is>
      </c>
      <c r="K27" s="7" t="n">
        <v>14000</v>
      </c>
      <c r="L27" s="7" t="inlineStr">
        <is>
          <t>25%</t>
        </is>
      </c>
      <c r="M27" s="7" t="inlineStr">
        <is>
          <t>MCGHI AR</t>
        </is>
      </c>
      <c r="N27" s="7" t="inlineStr">
        <is>
          <t>Fin</t>
        </is>
      </c>
    </row>
    <row r="30">
      <c r="A30" s="3" t="inlineStr">
        <is>
          <t>ICICI LOMBARD vs COMPETITION GAP ANALYSIS</t>
        </is>
      </c>
      <c r="B30" s="4" t="n"/>
      <c r="C30" s="4" t="n"/>
      <c r="D30" s="4" t="n"/>
      <c r="E30" s="4" t="n"/>
      <c r="F30" s="4" t="n"/>
      <c r="G30" s="4" t="n"/>
      <c r="H30" s="5" t="n"/>
    </row>
    <row r="31">
      <c r="A31" s="6" t="inlineStr">
        <is>
          <t>Metric</t>
        </is>
      </c>
      <c r="B31" s="6" t="inlineStr">
        <is>
          <t>ICICI Lombard</t>
        </is>
      </c>
      <c r="C31" s="6" t="inlineStr">
        <is>
          <t>Star Health</t>
        </is>
      </c>
      <c r="D31" s="6" t="inlineStr">
        <is>
          <t>Gap</t>
        </is>
      </c>
      <c r="E31" s="6" t="inlineStr">
        <is>
          <t>Niva Bupa</t>
        </is>
      </c>
      <c r="F31" s="6" t="inlineStr">
        <is>
          <t>Gap</t>
        </is>
      </c>
      <c r="G31" s="6" t="inlineStr">
        <is>
          <t>Industry Avg</t>
        </is>
      </c>
      <c r="H31" s="6" t="inlineStr">
        <is>
          <t>Gap</t>
        </is>
      </c>
    </row>
    <row r="32">
      <c r="A32" s="7" t="inlineStr">
        <is>
          <t>Retail Health Share</t>
        </is>
      </c>
      <c r="B32" s="7" t="inlineStr">
        <is>
          <t>2.9%</t>
        </is>
      </c>
      <c r="C32" s="7" t="inlineStr">
        <is>
          <t>33%</t>
        </is>
      </c>
      <c r="D32" s="7">
        <f>C33-B33</f>
        <v/>
      </c>
      <c r="E32" s="7" t="inlineStr">
        <is>
          <t>16.2%</t>
        </is>
      </c>
      <c r="F32" s="7">
        <f>E33-B33</f>
        <v/>
      </c>
      <c r="G32" s="7" t="inlineStr">
        <is>
          <t>10%</t>
        </is>
      </c>
      <c r="H32" s="7">
        <f>G33-B33</f>
        <v/>
      </c>
    </row>
    <row r="33">
      <c r="A33" s="7" t="inlineStr">
        <is>
          <t>Claims Ratio</t>
        </is>
      </c>
      <c r="B33" s="7" t="inlineStr">
        <is>
          <t>76.5%</t>
        </is>
      </c>
      <c r="C33" s="7" t="inlineStr">
        <is>
          <t>66.5%</t>
        </is>
      </c>
      <c r="D33" s="7">
        <f>B34-C34</f>
        <v/>
      </c>
      <c r="E33" s="7" t="inlineStr">
        <is>
          <t>70%</t>
        </is>
      </c>
      <c r="F33" s="7">
        <f>B34-E34</f>
        <v/>
      </c>
      <c r="G33" s="7" t="inlineStr">
        <is>
          <t>72%</t>
        </is>
      </c>
      <c r="H33" s="7">
        <f>B34-G34</f>
        <v/>
      </c>
    </row>
    <row r="34">
      <c r="A34" s="7" t="inlineStr">
        <is>
          <t>Combined Ratio</t>
        </is>
      </c>
      <c r="B34" s="7" t="inlineStr">
        <is>
          <t>103.8%</t>
        </is>
      </c>
      <c r="C34" s="7" t="inlineStr">
        <is>
          <t>97.3%</t>
        </is>
      </c>
      <c r="D34" s="7">
        <f>B35-C35</f>
        <v/>
      </c>
      <c r="E34" s="7" t="inlineStr">
        <is>
          <t>95%</t>
        </is>
      </c>
      <c r="F34" s="7">
        <f>B35-E35</f>
        <v/>
      </c>
      <c r="G34" s="7" t="inlineStr">
        <is>
          <t>100%</t>
        </is>
      </c>
      <c r="H34" s="7">
        <f>B35-G35</f>
        <v/>
      </c>
    </row>
    <row r="35">
      <c r="A35" s="7" t="inlineStr">
        <is>
          <t>Renewal Rate</t>
        </is>
      </c>
      <c r="B35" s="7" t="inlineStr">
        <is>
          <t>80%</t>
        </is>
      </c>
      <c r="C35" s="7" t="inlineStr">
        <is>
          <t>82%</t>
        </is>
      </c>
      <c r="D35" s="7">
        <f>C36-B36</f>
        <v/>
      </c>
      <c r="E35" s="7" t="inlineStr">
        <is>
          <t>85%</t>
        </is>
      </c>
      <c r="F35" s="7">
        <f>E36-B36</f>
        <v/>
      </c>
      <c r="G35" s="7" t="inlineStr">
        <is>
          <t>84%</t>
        </is>
      </c>
      <c r="H35" s="7">
        <f>G36-B36</f>
        <v/>
      </c>
    </row>
    <row r="36">
      <c r="A36" s="7" t="inlineStr">
        <is>
          <t>Digital Share</t>
        </is>
      </c>
      <c r="B36" s="7" t="inlineStr">
        <is>
          <t>17.4%</t>
        </is>
      </c>
      <c r="C36" s="7" t="inlineStr">
        <is>
          <t>15%</t>
        </is>
      </c>
      <c r="D36" s="7">
        <f>B37-C37</f>
        <v/>
      </c>
      <c r="E36" s="7" t="inlineStr">
        <is>
          <t>20%</t>
        </is>
      </c>
      <c r="F36" s="7">
        <f>E37-B37</f>
        <v/>
      </c>
      <c r="G36" s="7" t="inlineStr">
        <is>
          <t>12%</t>
        </is>
      </c>
      <c r="H36" s="7">
        <f>B37-G37</f>
        <v/>
      </c>
    </row>
    <row r="37">
      <c r="A37" s="7" t="inlineStr">
        <is>
          <t>Agent Network (000s)</t>
        </is>
      </c>
      <c r="B37" s="7" t="n">
        <v>150</v>
      </c>
      <c r="C37" s="7" t="n">
        <v>701</v>
      </c>
      <c r="D37" s="7">
        <f>C38-B38</f>
        <v/>
      </c>
      <c r="E37" s="7" t="n">
        <v>180</v>
      </c>
      <c r="F37" s="7">
        <f>E38-B38</f>
        <v/>
      </c>
      <c r="G37" s="7" t="n">
        <v>200</v>
      </c>
      <c r="H37" s="7">
        <f>G38-B38</f>
        <v/>
      </c>
    </row>
  </sheetData>
  <mergeCells count="3">
    <mergeCell ref="A21:N21"/>
    <mergeCell ref="A30:H30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4" customWidth="1" min="7" max="7"/>
    <col width="16" customWidth="1" min="8" max="8"/>
  </cols>
  <sheetData>
    <row r="1">
      <c r="A1" s="6" t="inlineStr">
        <is>
          <t>CUSTOMER LIFETIME VALUE (LTV) &amp; ACQUISITION COST (CAC) MODEL</t>
        </is>
      </c>
      <c r="B1" s="4" t="n"/>
      <c r="C1" s="4" t="n"/>
      <c r="D1" s="4" t="n"/>
      <c r="E1" s="4" t="n"/>
      <c r="F1" s="4" t="n"/>
      <c r="G1" s="4" t="n"/>
      <c r="H1" s="5" t="n"/>
    </row>
    <row r="3">
      <c r="A3" s="3" t="inlineStr">
        <is>
          <t>INPUT ASSUMPTIONS</t>
        </is>
      </c>
      <c r="B3" s="4" t="n"/>
      <c r="C3" s="4" t="n"/>
      <c r="D3" s="5" t="n"/>
    </row>
    <row r="4">
      <c r="A4" s="6" t="inlineStr">
        <is>
          <t>Parameter</t>
        </is>
      </c>
      <c r="B4" s="6" t="inlineStr">
        <is>
          <t>Value</t>
        </is>
      </c>
      <c r="C4" s="6" t="inlineStr">
        <is>
          <t>Unit</t>
        </is>
      </c>
      <c r="D4" s="6" t="inlineStr">
        <is>
          <t>Source</t>
        </is>
      </c>
    </row>
    <row r="5">
      <c r="A5" s="7" t="inlineStr">
        <is>
          <t>Average Annual Premium (Retail)</t>
        </is>
      </c>
      <c r="B5" s="7" t="n">
        <v>15000</v>
      </c>
      <c r="C5" s="7" t="inlineStr">
        <is>
          <t>₹</t>
        </is>
      </c>
      <c r="D5" s="7" t="inlineStr">
        <is>
          <t>IRDAI/Industry</t>
        </is>
      </c>
    </row>
    <row r="6">
      <c r="A6" s="7" t="inlineStr">
        <is>
          <t>Premium Growth Rate (Annual)</t>
        </is>
      </c>
      <c r="B6" s="7" t="inlineStr">
        <is>
          <t>8%</t>
        </is>
      </c>
      <c r="C6" s="7" t="inlineStr">
        <is>
          <t>%</t>
        </is>
      </c>
      <c r="D6" s="7" t="inlineStr">
        <is>
          <t>Medical inflation</t>
        </is>
      </c>
    </row>
    <row r="7">
      <c r="A7" s="7" t="inlineStr">
        <is>
          <t>Policy Retention Rate</t>
        </is>
      </c>
      <c r="B7" s="7" t="inlineStr">
        <is>
          <t>85%</t>
        </is>
      </c>
      <c r="C7" s="7" t="inlineStr">
        <is>
          <t>%</t>
        </is>
      </c>
      <c r="D7" s="7" t="inlineStr">
        <is>
          <t>Industry benchmark</t>
        </is>
      </c>
    </row>
    <row r="8">
      <c r="A8" s="7" t="inlineStr">
        <is>
          <t>Average Policy Duration</t>
        </is>
      </c>
      <c r="B8" s="7" t="n">
        <v>5</v>
      </c>
      <c r="C8" s="7" t="inlineStr">
        <is>
          <t>Years</t>
        </is>
      </c>
      <c r="D8" s="7" t="inlineStr">
        <is>
          <t>Based on retention</t>
        </is>
      </c>
    </row>
    <row r="9">
      <c r="A9" s="7" t="inlineStr">
        <is>
          <t>Claims Ratio</t>
        </is>
      </c>
      <c r="B9" s="7" t="inlineStr">
        <is>
          <t>65%</t>
        </is>
      </c>
      <c r="C9" s="7" t="inlineStr">
        <is>
          <t>%</t>
        </is>
      </c>
      <c r="D9" s="7" t="inlineStr">
        <is>
          <t>SAHI benchmark</t>
        </is>
      </c>
    </row>
    <row r="10">
      <c r="A10" s="7" t="inlineStr">
        <is>
          <t>Expense Ratio</t>
        </is>
      </c>
      <c r="B10" s="7" t="inlineStr">
        <is>
          <t>28%</t>
        </is>
      </c>
      <c r="C10" s="7" t="inlineStr">
        <is>
          <t>%</t>
        </is>
      </c>
      <c r="D10" s="7" t="inlineStr">
        <is>
          <t>Digital efficiency</t>
        </is>
      </c>
    </row>
    <row r="11">
      <c r="A11" s="7" t="inlineStr">
        <is>
          <t>Gross Margin</t>
        </is>
      </c>
      <c r="B11" s="7">
        <f>1-B9-B10</f>
        <v/>
      </c>
      <c r="C11" s="7" t="inlineStr">
        <is>
          <t>%</t>
        </is>
      </c>
      <c r="D11" s="7" t="inlineStr">
        <is>
          <t>Calculated</t>
        </is>
      </c>
    </row>
    <row r="12">
      <c r="A12" s="7" t="inlineStr">
        <is>
          <t>Discount Rate</t>
        </is>
      </c>
      <c r="B12" s="7" t="inlineStr">
        <is>
          <t>12%</t>
        </is>
      </c>
      <c r="C12" s="7" t="inlineStr">
        <is>
          <t>%</t>
        </is>
      </c>
      <c r="D12" s="7" t="inlineStr">
        <is>
          <t>WACC estimate</t>
        </is>
      </c>
    </row>
    <row r="15">
      <c r="A15" s="3" t="inlineStr">
        <is>
          <t>LTV CALCULATION (NPV Method)</t>
        </is>
      </c>
      <c r="B15" s="4" t="n"/>
      <c r="C15" s="4" t="n"/>
      <c r="D15" s="4" t="n"/>
      <c r="E15" s="4" t="n"/>
      <c r="F15" s="4" t="n"/>
      <c r="G15" s="4" t="n"/>
      <c r="H15" s="5" t="n"/>
    </row>
    <row r="16">
      <c r="A16" s="6" t="inlineStr">
        <is>
          <t>Year</t>
        </is>
      </c>
      <c r="B16" s="6" t="inlineStr">
        <is>
          <t>Premium</t>
        </is>
      </c>
      <c r="C16" s="6" t="inlineStr">
        <is>
          <t>Retention Prob</t>
        </is>
      </c>
      <c r="D16" s="6" t="inlineStr">
        <is>
          <t>Expected Premium</t>
        </is>
      </c>
      <c r="E16" s="6" t="inlineStr">
        <is>
          <t>Gross Margin</t>
        </is>
      </c>
      <c r="F16" s="6" t="inlineStr">
        <is>
          <t>Discount Factor</t>
        </is>
      </c>
      <c r="G16" s="6" t="inlineStr">
        <is>
          <t>PV Margin</t>
        </is>
      </c>
      <c r="H16" s="6" t="inlineStr">
        <is>
          <t>Cumulative LTV</t>
        </is>
      </c>
    </row>
    <row r="17">
      <c r="A17" s="7" t="n">
        <v>1</v>
      </c>
      <c r="B17" s="7">
        <f>B5</f>
        <v/>
      </c>
      <c r="C17" s="7" t="inlineStr">
        <is>
          <t>100%</t>
        </is>
      </c>
      <c r="D17" s="7">
        <f>B17*C17</f>
        <v/>
      </c>
      <c r="E17" s="7">
        <f>D17*B11</f>
        <v/>
      </c>
      <c r="F17" s="7">
        <f>1/(1+B12)^A17</f>
        <v/>
      </c>
      <c r="G17" s="7">
        <f>E17*F17</f>
        <v/>
      </c>
      <c r="H17" s="7">
        <f>G17</f>
        <v/>
      </c>
    </row>
    <row r="18">
      <c r="A18" s="7" t="n">
        <v>2</v>
      </c>
      <c r="B18" s="7">
        <f>B17*(1+B6)</f>
        <v/>
      </c>
      <c r="C18" s="7">
        <f>B7</f>
        <v/>
      </c>
      <c r="D18" s="7">
        <f>B18*C18</f>
        <v/>
      </c>
      <c r="E18" s="7">
        <f>D18*B11</f>
        <v/>
      </c>
      <c r="F18" s="7">
        <f>1/(1+B12)^A18</f>
        <v/>
      </c>
      <c r="G18" s="7">
        <f>E18*F18</f>
        <v/>
      </c>
      <c r="H18" s="7">
        <f>H17+G18</f>
        <v/>
      </c>
    </row>
    <row r="19">
      <c r="A19" s="7" t="n">
        <v>3</v>
      </c>
      <c r="B19" s="7">
        <f>B18*(1+B6)</f>
        <v/>
      </c>
      <c r="C19" s="7">
        <f>C18*B7</f>
        <v/>
      </c>
      <c r="D19" s="7">
        <f>B19*C19</f>
        <v/>
      </c>
      <c r="E19" s="7">
        <f>D19*B11</f>
        <v/>
      </c>
      <c r="F19" s="7">
        <f>1/(1+B12)^A19</f>
        <v/>
      </c>
      <c r="G19" s="7">
        <f>E19*F19</f>
        <v/>
      </c>
      <c r="H19" s="7">
        <f>H18+G19</f>
        <v/>
      </c>
    </row>
    <row r="20">
      <c r="A20" s="7" t="n">
        <v>4</v>
      </c>
      <c r="B20" s="7">
        <f>B19*(1+B6)</f>
        <v/>
      </c>
      <c r="C20" s="7">
        <f>C19*B7</f>
        <v/>
      </c>
      <c r="D20" s="7">
        <f>B20*C20</f>
        <v/>
      </c>
      <c r="E20" s="7">
        <f>D20*B11</f>
        <v/>
      </c>
      <c r="F20" s="7">
        <f>1/(1+B12)^A20</f>
        <v/>
      </c>
      <c r="G20" s="7">
        <f>E20*F20</f>
        <v/>
      </c>
      <c r="H20" s="7">
        <f>H19+G20</f>
        <v/>
      </c>
    </row>
    <row r="21">
      <c r="A21" s="7" t="n">
        <v>5</v>
      </c>
      <c r="B21" s="7">
        <f>B20*(1+B6)</f>
        <v/>
      </c>
      <c r="C21" s="7">
        <f>C20*B7</f>
        <v/>
      </c>
      <c r="D21" s="7">
        <f>B21*C21</f>
        <v/>
      </c>
      <c r="E21" s="7">
        <f>D21*B11</f>
        <v/>
      </c>
      <c r="F21" s="7">
        <f>1/(1+B12)^A21</f>
        <v/>
      </c>
      <c r="G21" s="7">
        <f>E21*F21</f>
        <v/>
      </c>
      <c r="H21" s="7">
        <f>H20+G21</f>
        <v/>
      </c>
    </row>
    <row r="23">
      <c r="A23" s="9" t="inlineStr">
        <is>
          <t>5-Year LTV</t>
        </is>
      </c>
      <c r="B23" s="9">
        <f>H21</f>
        <v/>
      </c>
    </row>
    <row r="26">
      <c r="A26" s="3" t="inlineStr">
        <is>
          <t>CUSTOMER ACQUISITION COST (CAC) BY CHANNEL</t>
        </is>
      </c>
      <c r="B26" s="4" t="n"/>
      <c r="C26" s="4" t="n"/>
      <c r="D26" s="4" t="n"/>
      <c r="E26" s="5" t="n"/>
    </row>
    <row r="27">
      <c r="A27" s="6" t="inlineStr">
        <is>
          <t>Channel</t>
        </is>
      </c>
      <c r="B27" s="6" t="inlineStr">
        <is>
          <t>CAC (₹)</t>
        </is>
      </c>
      <c r="C27" s="6" t="inlineStr">
        <is>
          <t>% of Mix</t>
        </is>
      </c>
      <c r="D27" s="6" t="inlineStr">
        <is>
          <t>Weighted CAC</t>
        </is>
      </c>
      <c r="E27" s="6" t="inlineStr">
        <is>
          <t>Source</t>
        </is>
      </c>
    </row>
    <row r="28">
      <c r="A28" s="7" t="inlineStr">
        <is>
          <t>D2C App (Organic)</t>
        </is>
      </c>
      <c r="B28" s="7" t="n">
        <v>1500</v>
      </c>
      <c r="C28" s="7" t="inlineStr">
        <is>
          <t>15%</t>
        </is>
      </c>
      <c r="D28" s="7">
        <f>B28*C28</f>
        <v/>
      </c>
      <c r="E28" s="7" t="inlineStr">
        <is>
          <t>Industry Est</t>
        </is>
      </c>
    </row>
    <row r="29">
      <c r="A29" s="7" t="inlineStr">
        <is>
          <t>D2C App (Paid)</t>
        </is>
      </c>
      <c r="B29" s="7" t="n">
        <v>3000</v>
      </c>
      <c r="C29" s="7" t="inlineStr">
        <is>
          <t>25%</t>
        </is>
      </c>
      <c r="D29" s="7">
        <f>B29*C29</f>
        <v/>
      </c>
      <c r="E29" s="7" t="inlineStr">
        <is>
          <t>Industry Est</t>
        </is>
      </c>
    </row>
    <row r="30">
      <c r="A30" s="7" t="inlineStr">
        <is>
          <t>Digital Aggregators</t>
        </is>
      </c>
      <c r="B30" s="7" t="n">
        <v>4500</v>
      </c>
      <c r="C30" s="7" t="inlineStr">
        <is>
          <t>20%</t>
        </is>
      </c>
      <c r="D30" s="7">
        <f>B30*C30</f>
        <v/>
      </c>
      <c r="E30" s="7" t="inlineStr">
        <is>
          <t>PolicyBazaar rates</t>
        </is>
      </c>
    </row>
    <row r="31">
      <c r="A31" s="7" t="inlineStr">
        <is>
          <t>Agents/Brokers</t>
        </is>
      </c>
      <c r="B31" s="7" t="n">
        <v>6000</v>
      </c>
      <c r="C31" s="7" t="inlineStr">
        <is>
          <t>30%</t>
        </is>
      </c>
      <c r="D31" s="7">
        <f>B31*C31</f>
        <v/>
      </c>
      <c r="E31" s="7" t="inlineStr">
        <is>
          <t>Commission based</t>
        </is>
      </c>
    </row>
    <row r="32">
      <c r="A32" s="7" t="inlineStr">
        <is>
          <t>Bancassurance</t>
        </is>
      </c>
      <c r="B32" s="7" t="n">
        <v>2500</v>
      </c>
      <c r="C32" s="7" t="inlineStr">
        <is>
          <t>10%</t>
        </is>
      </c>
      <c r="D32" s="7">
        <f>B32*C32</f>
        <v/>
      </c>
      <c r="E32" s="7" t="inlineStr">
        <is>
          <t>Bank partnership</t>
        </is>
      </c>
    </row>
    <row r="33">
      <c r="A33" s="7" t="inlineStr">
        <is>
          <t>BLENDED CAC</t>
        </is>
      </c>
      <c r="B33" s="7">
        <f>SUMPRODUCT(B28:B32,C28:C32)</f>
        <v/>
      </c>
      <c r="C33" s="7" t="inlineStr">
        <is>
          <t>100%</t>
        </is>
      </c>
      <c r="D33" s="7">
        <f>SUM(D28:D32)</f>
        <v/>
      </c>
      <c r="E33" s="7" t="inlineStr">
        <is>
          <t>Calculated</t>
        </is>
      </c>
    </row>
    <row r="36">
      <c r="A36" s="3" t="inlineStr">
        <is>
          <t>LTV:CAC ANALYSIS</t>
        </is>
      </c>
      <c r="B36" s="4" t="n"/>
      <c r="C36" s="4" t="n"/>
      <c r="D36" s="5" t="n"/>
    </row>
    <row r="37">
      <c r="A37" s="6" t="inlineStr">
        <is>
          <t>Metric</t>
        </is>
      </c>
      <c r="B37" s="6" t="inlineStr">
        <is>
          <t>Value</t>
        </is>
      </c>
      <c r="C37" s="6" t="inlineStr">
        <is>
          <t>Benchmark</t>
        </is>
      </c>
      <c r="D37" s="6" t="inlineStr">
        <is>
          <t>Status</t>
        </is>
      </c>
    </row>
    <row r="38">
      <c r="A38" s="7" t="inlineStr">
        <is>
          <t>LTV</t>
        </is>
      </c>
      <c r="B38" s="7">
        <f>B23</f>
        <v/>
      </c>
      <c r="C38" s="7" t="inlineStr">
        <is>
          <t>&gt;₹20,000</t>
        </is>
      </c>
      <c r="D38" s="7">
        <f>IF(B38&gt;20000,"GOOD","IMPROVE")</f>
        <v/>
      </c>
    </row>
    <row r="39">
      <c r="A39" s="7" t="inlineStr">
        <is>
          <t>CAC (Blended)</t>
        </is>
      </c>
      <c r="B39" s="7">
        <f>B33</f>
        <v/>
      </c>
      <c r="C39" s="7" t="inlineStr">
        <is>
          <t>&lt;₹4,000</t>
        </is>
      </c>
      <c r="D39" s="7">
        <f>IF(B39&lt;4000,"GOOD","HIGH")</f>
        <v/>
      </c>
    </row>
    <row r="40">
      <c r="A40" s="7" t="inlineStr">
        <is>
          <t>LTV:CAC Ratio</t>
        </is>
      </c>
      <c r="B40" s="7">
        <f>B38/B39</f>
        <v/>
      </c>
      <c r="C40" s="7" t="inlineStr">
        <is>
          <t>&gt;3:1</t>
        </is>
      </c>
      <c r="D40" s="7">
        <f>IF(B40&gt;3,"HEALTHY","IMPROVE")</f>
        <v/>
      </c>
    </row>
    <row r="41">
      <c r="A41" s="7" t="inlineStr">
        <is>
          <t>Payback Period (months)</t>
        </is>
      </c>
      <c r="B41" s="7">
        <f>B39/(B5*B11/12)</f>
        <v/>
      </c>
      <c r="C41" s="7" t="inlineStr">
        <is>
          <t>&lt;18 months</t>
        </is>
      </c>
      <c r="D41" s="7">
        <f>IF(B41&lt;18,"GOOD","LONG")</f>
        <v/>
      </c>
    </row>
    <row r="42">
      <c r="A42" s="7" t="inlineStr">
        <is>
          <t>Break-even Year</t>
        </is>
      </c>
      <c r="B42" s="7">
        <f>B41/12</f>
        <v/>
      </c>
      <c r="C42" s="7" t="inlineStr">
        <is>
          <t>&lt;1.5 years</t>
        </is>
      </c>
      <c r="D42" s="7">
        <f>IF(B42&lt;1.5,"GOOD","SLOW")</f>
        <v/>
      </c>
    </row>
  </sheetData>
  <mergeCells count="5">
    <mergeCell ref="A26:E26"/>
    <mergeCell ref="A15:H15"/>
    <mergeCell ref="A3:D3"/>
    <mergeCell ref="A1:H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</cols>
  <sheetData>
    <row r="1">
      <c r="A1" s="6" t="inlineStr">
        <is>
          <t>ICICI LOMBARD D2C HEALTH - 5-YEAR FINANCIAL PROJECTIONS</t>
        </is>
      </c>
      <c r="B1" s="4" t="n"/>
      <c r="C1" s="4" t="n"/>
      <c r="D1" s="4" t="n"/>
      <c r="E1" s="4" t="n"/>
      <c r="F1" s="4" t="n"/>
      <c r="G1" s="4" t="n"/>
      <c r="H1" s="4" t="n"/>
      <c r="I1" s="5" t="n"/>
    </row>
    <row r="3">
      <c r="A3" s="3" t="inlineStr">
        <is>
          <t>KEY ASSUMPTIONS</t>
        </is>
      </c>
      <c r="B3" s="4" t="n"/>
      <c r="C3" s="4" t="n"/>
      <c r="D3" s="5" t="n"/>
    </row>
    <row r="4">
      <c r="A4" s="6" t="inlineStr">
        <is>
          <t>Assumption</t>
        </is>
      </c>
      <c r="B4" s="6" t="inlineStr">
        <is>
          <t>Value</t>
        </is>
      </c>
      <c r="C4" s="6" t="inlineStr">
        <is>
          <t>Rationale</t>
        </is>
      </c>
      <c r="D4" s="6" t="inlineStr">
        <is>
          <t>Source</t>
        </is>
      </c>
    </row>
    <row r="5">
      <c r="A5" s="7" t="inlineStr">
        <is>
          <t>Year 1 New Customers</t>
        </is>
      </c>
      <c r="B5" s="7" t="n">
        <v>50000</v>
      </c>
      <c r="C5" s="7" t="inlineStr">
        <is>
          <t>Conservative launch</t>
        </is>
      </c>
      <c r="D5" s="7" t="inlineStr">
        <is>
          <t>Model</t>
        </is>
      </c>
    </row>
    <row r="6">
      <c r="A6" s="7" t="inlineStr">
        <is>
          <t>Customer Growth Rate Y1-Y2</t>
        </is>
      </c>
      <c r="B6" s="7" t="inlineStr">
        <is>
          <t>40%</t>
        </is>
      </c>
      <c r="C6" s="7" t="inlineStr">
        <is>
          <t>Aggressive digital</t>
        </is>
      </c>
      <c r="D6" s="7" t="inlineStr">
        <is>
          <t>Model</t>
        </is>
      </c>
    </row>
    <row r="7">
      <c r="A7" s="7" t="inlineStr">
        <is>
          <t>Customer Growth Rate Y2-Y3</t>
        </is>
      </c>
      <c r="B7" s="7" t="inlineStr">
        <is>
          <t>35%</t>
        </is>
      </c>
      <c r="C7" s="7" t="inlineStr">
        <is>
          <t>Scaling</t>
        </is>
      </c>
      <c r="D7" s="7" t="inlineStr">
        <is>
          <t>Model</t>
        </is>
      </c>
    </row>
    <row r="8">
      <c r="A8" s="7" t="inlineStr">
        <is>
          <t>Customer Growth Rate Y3-Y4</t>
        </is>
      </c>
      <c r="B8" s="7" t="inlineStr">
        <is>
          <t>30%</t>
        </is>
      </c>
      <c r="C8" s="7" t="inlineStr">
        <is>
          <t>Maturing</t>
        </is>
      </c>
      <c r="D8" s="7" t="inlineStr">
        <is>
          <t>Model</t>
        </is>
      </c>
    </row>
    <row r="9">
      <c r="A9" s="7" t="inlineStr">
        <is>
          <t>Customer Growth Rate Y4-Y5</t>
        </is>
      </c>
      <c r="B9" s="7" t="inlineStr">
        <is>
          <t>25%</t>
        </is>
      </c>
      <c r="C9" s="7" t="inlineStr">
        <is>
          <t>Steady state</t>
        </is>
      </c>
      <c r="D9" s="7" t="inlineStr">
        <is>
          <t>Model</t>
        </is>
      </c>
    </row>
    <row r="10">
      <c r="A10" s="7" t="inlineStr">
        <is>
          <t>Retention Rate Y1</t>
        </is>
      </c>
      <c r="B10" s="7" t="inlineStr">
        <is>
          <t>80%</t>
        </is>
      </c>
      <c r="C10" s="7" t="inlineStr">
        <is>
          <t>New cohort</t>
        </is>
      </c>
      <c r="D10" s="7" t="inlineStr">
        <is>
          <t>Industry</t>
        </is>
      </c>
    </row>
    <row r="11">
      <c r="A11" s="7" t="inlineStr">
        <is>
          <t>Retention Rate Y2+</t>
        </is>
      </c>
      <c r="B11" s="7" t="inlineStr">
        <is>
          <t>85%</t>
        </is>
      </c>
      <c r="C11" s="7" t="inlineStr">
        <is>
          <t>Improving</t>
        </is>
      </c>
      <c r="D11" s="7" t="inlineStr">
        <is>
          <t>Target</t>
        </is>
      </c>
    </row>
    <row r="12">
      <c r="A12" s="7" t="inlineStr">
        <is>
          <t>Avg Premium Y1</t>
        </is>
      </c>
      <c r="B12" s="7" t="n">
        <v>15000</v>
      </c>
      <c r="C12" s="7" t="inlineStr">
        <is>
          <t>Entry level</t>
        </is>
      </c>
      <c r="D12" s="7" t="inlineStr">
        <is>
          <t>Market</t>
        </is>
      </c>
    </row>
    <row r="13">
      <c r="A13" s="7" t="inlineStr">
        <is>
          <t>Premium Increase Rate</t>
        </is>
      </c>
      <c r="B13" s="7" t="inlineStr">
        <is>
          <t>10%</t>
        </is>
      </c>
      <c r="C13" s="7" t="inlineStr">
        <is>
          <t>Inflation + upsell</t>
        </is>
      </c>
      <c r="D13" s="7" t="inlineStr">
        <is>
          <t>Industry</t>
        </is>
      </c>
    </row>
    <row r="14">
      <c r="A14" s="7" t="inlineStr">
        <is>
          <t>CAC Y1</t>
        </is>
      </c>
      <c r="B14" s="7" t="n">
        <v>3500</v>
      </c>
      <c r="C14" s="7" t="inlineStr">
        <is>
          <t>Digital + paid</t>
        </is>
      </c>
      <c r="D14" s="7" t="inlineStr">
        <is>
          <t>'6_LTV_CAC_Model'!B33</t>
        </is>
      </c>
    </row>
    <row r="15">
      <c r="A15" s="7" t="inlineStr">
        <is>
          <t>CAC Reduction Rate</t>
        </is>
      </c>
      <c r="B15" s="7" t="inlineStr">
        <is>
          <t>8%</t>
        </is>
      </c>
      <c r="C15" s="7" t="inlineStr">
        <is>
          <t>Efficiency gains</t>
        </is>
      </c>
      <c r="D15" s="7" t="inlineStr">
        <is>
          <t>Model</t>
        </is>
      </c>
    </row>
    <row r="16">
      <c r="A16" s="7" t="inlineStr">
        <is>
          <t>Claims Ratio Target</t>
        </is>
      </c>
      <c r="B16" s="7" t="inlineStr">
        <is>
          <t>65%</t>
        </is>
      </c>
      <c r="C16" s="7" t="inlineStr">
        <is>
          <t>SAHI benchmark</t>
        </is>
      </c>
      <c r="D16" s="7" t="inlineStr">
        <is>
          <t>IRDAI</t>
        </is>
      </c>
    </row>
    <row r="17">
      <c r="A17" s="7" t="inlineStr">
        <is>
          <t>Expense Ratio Target</t>
        </is>
      </c>
      <c r="B17" s="7" t="inlineStr">
        <is>
          <t>25%</t>
        </is>
      </c>
      <c r="C17" s="7" t="inlineStr">
        <is>
          <t>Digital efficiency</t>
        </is>
      </c>
      <c r="D17" s="7" t="inlineStr">
        <is>
          <t>Target</t>
        </is>
      </c>
    </row>
    <row r="20">
      <c r="A20" s="3" t="inlineStr">
        <is>
          <t>5-YEAR PROJECTIONS</t>
        </is>
      </c>
      <c r="B20" s="4" t="n"/>
      <c r="C20" s="4" t="n"/>
      <c r="D20" s="4" t="n"/>
      <c r="E20" s="4" t="n"/>
      <c r="F20" s="4" t="n"/>
      <c r="G20" s="4" t="n"/>
      <c r="H20" s="4" t="n"/>
      <c r="I20" s="5" t="n"/>
    </row>
    <row r="21">
      <c r="A21" s="6" t="inlineStr">
        <is>
          <t>Metric</t>
        </is>
      </c>
      <c r="B21" s="6" t="inlineStr">
        <is>
          <t>Year 1</t>
        </is>
      </c>
      <c r="C21" s="6" t="inlineStr">
        <is>
          <t>Year 2</t>
        </is>
      </c>
      <c r="D21" s="6" t="inlineStr">
        <is>
          <t>Year 3</t>
        </is>
      </c>
      <c r="E21" s="6" t="inlineStr">
        <is>
          <t>Year 4</t>
        </is>
      </c>
      <c r="F21" s="6" t="inlineStr">
        <is>
          <t>Year 5</t>
        </is>
      </c>
      <c r="G21" s="6" t="inlineStr">
        <is>
          <t>Total/CAGR</t>
        </is>
      </c>
      <c r="H21" s="6" t="inlineStr">
        <is>
          <t>Notes</t>
        </is>
      </c>
    </row>
    <row r="22">
      <c r="A22" s="7" t="inlineStr">
        <is>
          <t>NEW CUSTOMERS</t>
        </is>
      </c>
      <c r="B22" s="7">
        <f>B5</f>
        <v/>
      </c>
      <c r="C22" s="7">
        <f>B22*(1+B6)</f>
        <v/>
      </c>
      <c r="D22" s="7">
        <f>C22*(1+B7)</f>
        <v/>
      </c>
      <c r="E22" s="7">
        <f>D22*(1+B8)</f>
        <v/>
      </c>
      <c r="F22" s="7">
        <f>E22*(1+B9)</f>
        <v/>
      </c>
      <c r="G22" s="7">
        <f>SUM(B22:F22)</f>
        <v/>
      </c>
      <c r="H22" s="7" t="inlineStr">
        <is>
          <t>Total new</t>
        </is>
      </c>
    </row>
    <row r="23">
      <c r="A23" s="7" t="inlineStr">
        <is>
          <t>RETAINED CUSTOMERS</t>
        </is>
      </c>
      <c r="B23" s="7" t="n">
        <v>0</v>
      </c>
      <c r="C23" s="7">
        <f>B24*B10</f>
        <v/>
      </c>
      <c r="D23" s="7">
        <f>C24*B11</f>
        <v/>
      </c>
      <c r="E23" s="7">
        <f>D24*B11</f>
        <v/>
      </c>
      <c r="F23" s="7">
        <f>E24*B11</f>
        <v/>
      </c>
      <c r="G23" s="7">
        <f>(F23/C23)^(1/3)-1</f>
        <v/>
      </c>
      <c r="H23" s="7" t="inlineStr">
        <is>
          <t>Retention CAGR</t>
        </is>
      </c>
    </row>
    <row r="24">
      <c r="A24" s="7" t="inlineStr">
        <is>
          <t>TOTAL CUSTOMERS</t>
        </is>
      </c>
      <c r="B24" s="7">
        <f>B22+B23</f>
        <v/>
      </c>
      <c r="C24" s="7">
        <f>C22+C23</f>
        <v/>
      </c>
      <c r="D24" s="7">
        <f>D22+D23</f>
        <v/>
      </c>
      <c r="E24" s="7">
        <f>E22+E23</f>
        <v/>
      </c>
      <c r="F24" s="7">
        <f>F22+F23</f>
        <v/>
      </c>
      <c r="G24" s="7">
        <f>(F24/B24)^(1/4)-1</f>
        <v/>
      </c>
      <c r="H24" s="7" t="inlineStr">
        <is>
          <t>Customer CAGR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inlineStr">
        <is>
          <t>AVG PREMIUM (₹)</t>
        </is>
      </c>
      <c r="B26" s="7">
        <f>B12</f>
        <v/>
      </c>
      <c r="C26" s="7">
        <f>B26*(1+B13)</f>
        <v/>
      </c>
      <c r="D26" s="7">
        <f>C26*(1+B13)</f>
        <v/>
      </c>
      <c r="E26" s="7">
        <f>D26*(1+B13)</f>
        <v/>
      </c>
      <c r="F26" s="7">
        <f>E26*(1+B13)</f>
        <v/>
      </c>
      <c r="G26" s="7">
        <f>(F26/B26)^(1/4)-1</f>
        <v/>
      </c>
      <c r="H26" s="7" t="inlineStr">
        <is>
          <t>Premium CAGR</t>
        </is>
      </c>
    </row>
    <row r="27">
      <c r="A27" s="7" t="inlineStr">
        <is>
          <t>GWP (₹ Cr)</t>
        </is>
      </c>
      <c r="B27" s="7">
        <f>B24*B26/10000000</f>
        <v/>
      </c>
      <c r="C27" s="7">
        <f>C24*C26/10000000</f>
        <v/>
      </c>
      <c r="D27" s="7">
        <f>D24*D26/10000000</f>
        <v/>
      </c>
      <c r="E27" s="7">
        <f>E24*E26/10000000</f>
        <v/>
      </c>
      <c r="F27" s="7">
        <f>F24*F26/10000000</f>
        <v/>
      </c>
      <c r="G27" s="7">
        <f>(F27/B27)^(1/4)-1</f>
        <v/>
      </c>
      <c r="H27" s="7" t="inlineStr">
        <is>
          <t>GWP CAGR</t>
        </is>
      </c>
    </row>
    <row r="28">
      <c r="A28" s="7" t="inlineStr">
        <is>
          <t>CLAIMS (₹ Cr)</t>
        </is>
      </c>
      <c r="B28" s="7">
        <f>B27*B16</f>
        <v/>
      </c>
      <c r="C28" s="7">
        <f>C27*B16</f>
        <v/>
      </c>
      <c r="D28" s="7">
        <f>D27*B16</f>
        <v/>
      </c>
      <c r="E28" s="7">
        <f>E27*B16</f>
        <v/>
      </c>
      <c r="F28" s="7">
        <f>F27*B16</f>
        <v/>
      </c>
      <c r="G28" s="7">
        <f>SUM(B28:F28)</f>
        <v/>
      </c>
      <c r="H28" s="7" t="inlineStr">
        <is>
          <t>Total claims</t>
        </is>
      </c>
    </row>
    <row r="29">
      <c r="A29" s="7" t="inlineStr">
        <is>
          <t>EXPENSES (₹ Cr)</t>
        </is>
      </c>
      <c r="B29" s="7">
        <f>B27*B17</f>
        <v/>
      </c>
      <c r="C29" s="7">
        <f>C27*B17</f>
        <v/>
      </c>
      <c r="D29" s="7">
        <f>D27*B17</f>
        <v/>
      </c>
      <c r="E29" s="7">
        <f>E27*B17</f>
        <v/>
      </c>
      <c r="F29" s="7">
        <f>F27*B17</f>
        <v/>
      </c>
      <c r="G29" s="7">
        <f>SUM(B29:F29)</f>
        <v/>
      </c>
      <c r="H29" s="7" t="inlineStr">
        <is>
          <t>Total expenses</t>
        </is>
      </c>
    </row>
    <row r="30">
      <c r="A30" s="7" t="inlineStr">
        <is>
          <t>CAC SPEND (₹ Cr)</t>
        </is>
      </c>
      <c r="B30" s="7">
        <f>B22*B14/10000000</f>
        <v/>
      </c>
      <c r="C30" s="7">
        <f>C22*B14*(1-B15)/10000000</f>
        <v/>
      </c>
      <c r="D30" s="7">
        <f>D22*B14*(1-B15)^2/10000000</f>
        <v/>
      </c>
      <c r="E30" s="7">
        <f>E22*B14*(1-B15)^3/10000000</f>
        <v/>
      </c>
      <c r="F30" s="7">
        <f>F22*B14*(1-B15)^4/10000000</f>
        <v/>
      </c>
      <c r="G30" s="7">
        <f>SUM(B30:F30)</f>
        <v/>
      </c>
      <c r="H30" s="7" t="inlineStr">
        <is>
          <t>Total CAC</t>
        </is>
      </c>
    </row>
    <row r="31">
      <c r="A31" s="7" t="inlineStr">
        <is>
          <t>GROSS MARGIN (₹ Cr)</t>
        </is>
      </c>
      <c r="B31" s="7">
        <f>B27-B28-B29</f>
        <v/>
      </c>
      <c r="C31" s="7">
        <f>C27-C28-C29</f>
        <v/>
      </c>
      <c r="D31" s="7">
        <f>D27-D28-D29</f>
        <v/>
      </c>
      <c r="E31" s="7">
        <f>E27-E28-E29</f>
        <v/>
      </c>
      <c r="F31" s="7">
        <f>F27-F28-F29</f>
        <v/>
      </c>
      <c r="G31" s="7">
        <f>SUM(B31:F31)</f>
        <v/>
      </c>
      <c r="H31" s="7" t="inlineStr">
        <is>
          <t>Total margin</t>
        </is>
      </c>
    </row>
    <row r="32">
      <c r="A32" s="7" t="inlineStr">
        <is>
          <t>CONTRIBUTION (₹ Cr)</t>
        </is>
      </c>
      <c r="B32" s="7">
        <f>B31-B30</f>
        <v/>
      </c>
      <c r="C32" s="7">
        <f>C31-C30</f>
        <v/>
      </c>
      <c r="D32" s="7">
        <f>D31-D30</f>
        <v/>
      </c>
      <c r="E32" s="7">
        <f>E31-E30</f>
        <v/>
      </c>
      <c r="F32" s="7">
        <f>F31-F30</f>
        <v/>
      </c>
      <c r="G32" s="7">
        <f>SUM(B32:F32)</f>
        <v/>
      </c>
      <c r="H32" s="7" t="inlineStr">
        <is>
          <t>Total contribution</t>
        </is>
      </c>
    </row>
    <row r="33">
      <c r="A33" s="7" t="inlineStr">
        <is>
          <t>CONTRIBUTION MARGIN %</t>
        </is>
      </c>
      <c r="B33" s="7">
        <f>B32/B27</f>
        <v/>
      </c>
      <c r="C33" s="7">
        <f>C32/C27</f>
        <v/>
      </c>
      <c r="D33" s="7">
        <f>D32/D27</f>
        <v/>
      </c>
      <c r="E33" s="7">
        <f>E32/E27</f>
        <v/>
      </c>
      <c r="F33" s="7">
        <f>F32/F27</f>
        <v/>
      </c>
      <c r="G33" s="7">
        <f>G32/SUM(B27:F27)</f>
        <v/>
      </c>
      <c r="H33" s="7" t="inlineStr">
        <is>
          <t>Avg margin</t>
        </is>
      </c>
    </row>
    <row r="36">
      <c r="A36" s="3" t="inlineStr">
        <is>
          <t>KEY OUTPUTS</t>
        </is>
      </c>
      <c r="B36" s="4" t="n"/>
      <c r="C36" s="4" t="n"/>
      <c r="D36" s="5" t="n"/>
    </row>
    <row r="37">
      <c r="A37" s="9" t="inlineStr">
        <is>
          <t>Year 5 Customer Base</t>
        </is>
      </c>
      <c r="B37" s="9">
        <f>F24</f>
        <v/>
      </c>
      <c r="C37" s="9" t="inlineStr">
        <is>
          <t>customers</t>
        </is>
      </c>
    </row>
    <row r="38">
      <c r="A38" s="9" t="inlineStr">
        <is>
          <t>Year 5 GWP</t>
        </is>
      </c>
      <c r="B38" s="9">
        <f>F27</f>
        <v/>
      </c>
      <c r="C38" s="9" t="inlineStr">
        <is>
          <t>₹ Cr</t>
        </is>
      </c>
    </row>
    <row r="39">
      <c r="A39" s="9" t="inlineStr">
        <is>
          <t>5-Year Total GWP</t>
        </is>
      </c>
      <c r="B39" s="9">
        <f>SUM(B27:F27)</f>
        <v/>
      </c>
      <c r="C39" s="9" t="inlineStr">
        <is>
          <t>₹ Cr</t>
        </is>
      </c>
    </row>
    <row r="40">
      <c r="A40" s="9" t="inlineStr">
        <is>
          <t>5-Year Contribution</t>
        </is>
      </c>
      <c r="B40" s="9">
        <f>G32</f>
        <v/>
      </c>
      <c r="C40" s="9" t="inlineStr">
        <is>
          <t>₹ Cr</t>
        </is>
      </c>
    </row>
    <row r="41">
      <c r="A41" s="9" t="inlineStr">
        <is>
          <t>Customer CAGR</t>
        </is>
      </c>
      <c r="B41" s="9">
        <f>G24</f>
        <v/>
      </c>
      <c r="C41" s="9" t="inlineStr">
        <is>
          <t>%</t>
        </is>
      </c>
    </row>
    <row r="42">
      <c r="A42" s="9" t="inlineStr">
        <is>
          <t>GWP CAGR</t>
        </is>
      </c>
      <c r="B42" s="9">
        <f>G27</f>
        <v/>
      </c>
      <c r="C42" s="9" t="inlineStr">
        <is>
          <t>%</t>
        </is>
      </c>
    </row>
  </sheetData>
  <mergeCells count="4">
    <mergeCell ref="A1:I1"/>
    <mergeCell ref="A36:D36"/>
    <mergeCell ref="A20:I20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</cols>
  <sheetData>
    <row r="1">
      <c r="A1" s="6" t="inlineStr">
        <is>
          <t>150 SUB-SEGMENT FRAMEWORK FOR D2C TARGETING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3">
      <c r="A3" s="3" t="inlineStr">
        <is>
          <t>SEGMENTATION DIMENSIONS</t>
        </is>
      </c>
      <c r="B3" s="4" t="n"/>
      <c r="C3" s="4" t="n"/>
      <c r="D3" s="4" t="n"/>
      <c r="E3" s="5" t="n"/>
    </row>
    <row r="4">
      <c r="A4" s="6" t="inlineStr">
        <is>
          <t>Dimension</t>
        </is>
      </c>
      <c r="B4" s="6" t="inlineStr">
        <is>
          <t>Categories</t>
        </is>
      </c>
      <c r="C4" s="6" t="inlineStr">
        <is>
          <t>Sub-Categories</t>
        </is>
      </c>
      <c r="D4" s="6" t="inlineStr">
        <is>
          <t>Count</t>
        </is>
      </c>
      <c r="E4" s="6" t="inlineStr">
        <is>
          <t>Data Source</t>
        </is>
      </c>
    </row>
    <row r="5">
      <c r="A5" s="7" t="inlineStr">
        <is>
          <t>Income (from CBDT)</t>
        </is>
      </c>
      <c r="B5" s="7" t="inlineStr">
        <is>
          <t>4 bands</t>
        </is>
      </c>
      <c r="C5" s="7" t="inlineStr">
        <is>
          <t>0-5L, 5-10L, 10-25L, 25L+</t>
        </is>
      </c>
      <c r="D5" s="7" t="n">
        <v>4</v>
      </c>
      <c r="E5" s="7" t="inlineStr">
        <is>
          <t>S01 - CBDT ITR</t>
        </is>
      </c>
    </row>
    <row r="6">
      <c r="A6" s="7" t="inlineStr">
        <is>
          <t>Age</t>
        </is>
      </c>
      <c r="B6" s="7" t="inlineStr">
        <is>
          <t>5 bands</t>
        </is>
      </c>
      <c r="C6" s="7" t="inlineStr">
        <is>
          <t>18-30, 30-40, 40-50, 50-60, 60+</t>
        </is>
      </c>
      <c r="D6" s="7" t="n">
        <v>5</v>
      </c>
      <c r="E6" s="7" t="inlineStr">
        <is>
          <t>Census Projections</t>
        </is>
      </c>
    </row>
    <row r="7">
      <c r="A7" s="7" t="inlineStr">
        <is>
          <t>Geography</t>
        </is>
      </c>
      <c r="B7" s="7" t="inlineStr">
        <is>
          <t>3 tiers</t>
        </is>
      </c>
      <c r="C7" s="7" t="inlineStr">
        <is>
          <t>Metro (6), Tier-1 (15), Tier-2+ (Rest)</t>
        </is>
      </c>
      <c r="D7" s="7" t="n">
        <v>3</v>
      </c>
      <c r="E7" s="7" t="inlineStr">
        <is>
          <t>Smart Cities</t>
        </is>
      </c>
    </row>
    <row r="8">
      <c r="A8" s="7" t="inlineStr">
        <is>
          <t>Family Type</t>
        </is>
      </c>
      <c r="B8" s="7" t="inlineStr">
        <is>
          <t>3 types</t>
        </is>
      </c>
      <c r="C8" s="7" t="inlineStr">
        <is>
          <t>Individual, Couple, Family (3+)</t>
        </is>
      </c>
      <c r="D8" s="7" t="n">
        <v>3</v>
      </c>
      <c r="E8" s="7" t="inlineStr">
        <is>
          <t>Industry</t>
        </is>
      </c>
    </row>
    <row r="9">
      <c r="A9" s="7" t="inlineStr">
        <is>
          <t>Digital Affinity</t>
        </is>
      </c>
      <c r="B9" s="7" t="inlineStr">
        <is>
          <t>2 levels</t>
        </is>
      </c>
      <c r="C9" s="7" t="inlineStr">
        <is>
          <t>Digital-first, Hybrid</t>
        </is>
      </c>
      <c r="D9" s="7" t="n">
        <v>2</v>
      </c>
      <c r="E9" s="7" t="inlineStr">
        <is>
          <t>Industry</t>
        </is>
      </c>
    </row>
    <row r="10">
      <c r="A10" s="7" t="inlineStr">
        <is>
          <t>TOTAL SEGMENTS</t>
        </is>
      </c>
      <c r="B10" s="7" t="inlineStr">
        <is>
          <t>-</t>
        </is>
      </c>
      <c r="C10" s="7" t="inlineStr">
        <is>
          <t>4 × 5 × 3 × 3 × 2 =</t>
        </is>
      </c>
      <c r="D10" s="7">
        <f>D5*D6*D7*D8*D9</f>
        <v/>
      </c>
      <c r="E10" s="7" t="inlineStr">
        <is>
          <t>Framework</t>
        </is>
      </c>
    </row>
    <row r="13">
      <c r="A13" s="3" t="inlineStr">
        <is>
          <t>PRIORITY SEGMENTS FOR D2C (Top 20)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6" t="inlineStr">
        <is>
          <t>Rank</t>
        </is>
      </c>
      <c r="B14" s="6" t="inlineStr">
        <is>
          <t>Segment</t>
        </is>
      </c>
      <c r="C14" s="6" t="inlineStr">
        <is>
          <t>Income</t>
        </is>
      </c>
      <c r="D14" s="6" t="inlineStr">
        <is>
          <t>Age</t>
        </is>
      </c>
      <c r="E14" s="6" t="inlineStr">
        <is>
          <t>City</t>
        </is>
      </c>
      <c r="F14" s="6" t="inlineStr">
        <is>
          <t>Family</t>
        </is>
      </c>
      <c r="G14" s="6" t="inlineStr">
        <is>
          <t>Size (000s)</t>
        </is>
      </c>
      <c r="H14" s="6" t="inlineStr">
        <is>
          <t>Premium</t>
        </is>
      </c>
      <c r="I14" s="6" t="inlineStr">
        <is>
          <t>TAM (₹Cr)</t>
        </is>
      </c>
      <c r="J14" s="6" t="inlineStr">
        <is>
          <t>Priority</t>
        </is>
      </c>
    </row>
    <row r="15">
      <c r="A15" s="7" t="n">
        <v>1</v>
      </c>
      <c r="B15" s="7" t="inlineStr">
        <is>
          <t>Young Urban Professionals</t>
        </is>
      </c>
      <c r="C15" s="7" t="inlineStr">
        <is>
          <t>10-25L</t>
        </is>
      </c>
      <c r="D15" s="7" t="inlineStr">
        <is>
          <t>25-35</t>
        </is>
      </c>
      <c r="E15" s="7" t="inlineStr">
        <is>
          <t>Metro</t>
        </is>
      </c>
      <c r="F15" s="7" t="inlineStr">
        <is>
          <t>Individual</t>
        </is>
      </c>
      <c r="G15" s="7" t="n">
        <v>2500</v>
      </c>
      <c r="H15" s="7" t="n">
        <v>12000</v>
      </c>
      <c r="I15" s="7">
        <f>G15*H15/10000000</f>
        <v/>
      </c>
      <c r="J15" s="7" t="inlineStr">
        <is>
          <t>P1</t>
        </is>
      </c>
    </row>
    <row r="16">
      <c r="A16" s="7" t="n">
        <v>2</v>
      </c>
      <c r="B16" s="7" t="inlineStr">
        <is>
          <t>DINK Couples Metro</t>
        </is>
      </c>
      <c r="C16" s="7" t="inlineStr">
        <is>
          <t>10-25L</t>
        </is>
      </c>
      <c r="D16" s="7" t="inlineStr">
        <is>
          <t>28-40</t>
        </is>
      </c>
      <c r="E16" s="7" t="inlineStr">
        <is>
          <t>Metro</t>
        </is>
      </c>
      <c r="F16" s="7" t="inlineStr">
        <is>
          <t>Couple</t>
        </is>
      </c>
      <c r="G16" s="7" t="n">
        <v>1800</v>
      </c>
      <c r="H16" s="7" t="n">
        <v>18000</v>
      </c>
      <c r="I16" s="7">
        <f>G16*H16/10000000</f>
        <v/>
      </c>
      <c r="J16" s="7" t="inlineStr">
        <is>
          <t>P1</t>
        </is>
      </c>
    </row>
    <row r="17">
      <c r="A17" s="7" t="n">
        <v>3</v>
      </c>
      <c r="B17" s="7" t="inlineStr">
        <is>
          <t>Young Families Metro</t>
        </is>
      </c>
      <c r="C17" s="7" t="inlineStr">
        <is>
          <t>10-25L</t>
        </is>
      </c>
      <c r="D17" s="7" t="inlineStr">
        <is>
          <t>30-42</t>
        </is>
      </c>
      <c r="E17" s="7" t="inlineStr">
        <is>
          <t>Metro</t>
        </is>
      </c>
      <c r="F17" s="7" t="inlineStr">
        <is>
          <t>Family</t>
        </is>
      </c>
      <c r="G17" s="7" t="n">
        <v>2200</v>
      </c>
      <c r="H17" s="7" t="n">
        <v>25000</v>
      </c>
      <c r="I17" s="7">
        <f>G17*H17/10000000</f>
        <v/>
      </c>
      <c r="J17" s="7" t="inlineStr">
        <is>
          <t>P1</t>
        </is>
      </c>
    </row>
    <row r="18">
      <c r="A18" s="7" t="n">
        <v>4</v>
      </c>
      <c r="B18" s="7" t="inlineStr">
        <is>
          <t>Tech Professionals</t>
        </is>
      </c>
      <c r="C18" s="7" t="inlineStr">
        <is>
          <t>25L+</t>
        </is>
      </c>
      <c r="D18" s="7" t="inlineStr">
        <is>
          <t>25-40</t>
        </is>
      </c>
      <c r="E18" s="7" t="inlineStr">
        <is>
          <t>Metro</t>
        </is>
      </c>
      <c r="F18" s="7" t="inlineStr">
        <is>
          <t>All</t>
        </is>
      </c>
      <c r="G18" s="7" t="n">
        <v>800</v>
      </c>
      <c r="H18" s="7" t="n">
        <v>35000</v>
      </c>
      <c r="I18" s="7">
        <f>G18*H18/10000000</f>
        <v/>
      </c>
      <c r="J18" s="7" t="inlineStr">
        <is>
          <t>P1</t>
        </is>
      </c>
    </row>
    <row r="19">
      <c r="A19" s="7" t="n">
        <v>5</v>
      </c>
      <c r="B19" s="7" t="inlineStr">
        <is>
          <t>Senior Couples Metro</t>
        </is>
      </c>
      <c r="C19" s="7" t="inlineStr">
        <is>
          <t>10-25L</t>
        </is>
      </c>
      <c r="D19" s="7" t="inlineStr">
        <is>
          <t>55-65</t>
        </is>
      </c>
      <c r="E19" s="7" t="inlineStr">
        <is>
          <t>Metro</t>
        </is>
      </c>
      <c r="F19" s="7" t="inlineStr">
        <is>
          <t>Couple</t>
        </is>
      </c>
      <c r="G19" s="7" t="n">
        <v>600</v>
      </c>
      <c r="H19" s="7" t="n">
        <v>45000</v>
      </c>
      <c r="I19" s="7">
        <f>G19*H19/10000000</f>
        <v/>
      </c>
      <c r="J19" s="7" t="inlineStr">
        <is>
          <t>P1</t>
        </is>
      </c>
    </row>
    <row r="20">
      <c r="A20" s="7" t="n">
        <v>6</v>
      </c>
      <c r="B20" s="7" t="inlineStr">
        <is>
          <t>Young Urban Tier-1</t>
        </is>
      </c>
      <c r="C20" s="7" t="inlineStr">
        <is>
          <t>5-10L</t>
        </is>
      </c>
      <c r="D20" s="7" t="inlineStr">
        <is>
          <t>25-35</t>
        </is>
      </c>
      <c r="E20" s="7" t="inlineStr">
        <is>
          <t>Tier-1</t>
        </is>
      </c>
      <c r="F20" s="7" t="inlineStr">
        <is>
          <t>Individual</t>
        </is>
      </c>
      <c r="G20" s="7" t="n">
        <v>3500</v>
      </c>
      <c r="H20" s="7" t="n">
        <v>8000</v>
      </c>
      <c r="I20" s="7">
        <f>G20*H20/10000000</f>
        <v/>
      </c>
      <c r="J20" s="7" t="inlineStr">
        <is>
          <t>P2</t>
        </is>
      </c>
    </row>
    <row r="21">
      <c r="A21" s="7" t="n">
        <v>7</v>
      </c>
      <c r="B21" s="7" t="inlineStr">
        <is>
          <t>Families Tier-1</t>
        </is>
      </c>
      <c r="C21" s="7" t="inlineStr">
        <is>
          <t>5-10L</t>
        </is>
      </c>
      <c r="D21" s="7" t="inlineStr">
        <is>
          <t>30-45</t>
        </is>
      </c>
      <c r="E21" s="7" t="inlineStr">
        <is>
          <t>Tier-1</t>
        </is>
      </c>
      <c r="F21" s="7" t="inlineStr">
        <is>
          <t>Family</t>
        </is>
      </c>
      <c r="G21" s="7" t="n">
        <v>2800</v>
      </c>
      <c r="H21" s="7" t="n">
        <v>15000</v>
      </c>
      <c r="I21" s="7">
        <f>G21*H21/10000000</f>
        <v/>
      </c>
      <c r="J21" s="7" t="inlineStr">
        <is>
          <t>P2</t>
        </is>
      </c>
    </row>
    <row r="22">
      <c r="A22" s="7" t="n">
        <v>8</v>
      </c>
      <c r="B22" s="7" t="inlineStr">
        <is>
          <t>Mid-Career Metro</t>
        </is>
      </c>
      <c r="C22" s="7" t="inlineStr">
        <is>
          <t>10-25L</t>
        </is>
      </c>
      <c r="D22" s="7" t="inlineStr">
        <is>
          <t>35-50</t>
        </is>
      </c>
      <c r="E22" s="7" t="inlineStr">
        <is>
          <t>Metro</t>
        </is>
      </c>
      <c r="F22" s="7" t="inlineStr">
        <is>
          <t>Family</t>
        </is>
      </c>
      <c r="G22" s="7" t="n">
        <v>1500</v>
      </c>
      <c r="H22" s="7" t="n">
        <v>28000</v>
      </c>
      <c r="I22" s="7">
        <f>G22*H22/10000000</f>
        <v/>
      </c>
      <c r="J22" s="7" t="inlineStr">
        <is>
          <t>P2</t>
        </is>
      </c>
    </row>
    <row r="23">
      <c r="A23" s="7" t="n">
        <v>9</v>
      </c>
      <c r="B23" s="7" t="inlineStr">
        <is>
          <t>Senior Singles Metro</t>
        </is>
      </c>
      <c r="C23" s="7" t="inlineStr">
        <is>
          <t>10-25L</t>
        </is>
      </c>
      <c r="D23" s="7" t="inlineStr">
        <is>
          <t>60-70</t>
        </is>
      </c>
      <c r="E23" s="7" t="inlineStr">
        <is>
          <t>Metro</t>
        </is>
      </c>
      <c r="F23" s="7" t="inlineStr">
        <is>
          <t>Individual</t>
        </is>
      </c>
      <c r="G23" s="7" t="n">
        <v>400</v>
      </c>
      <c r="H23" s="7" t="n">
        <v>55000</v>
      </c>
      <c r="I23" s="7">
        <f>G23*H23/10000000</f>
        <v/>
      </c>
      <c r="J23" s="7" t="inlineStr">
        <is>
          <t>P2</t>
        </is>
      </c>
    </row>
    <row r="24">
      <c r="A24" s="7" t="n">
        <v>10</v>
      </c>
      <c r="B24" s="7" t="inlineStr">
        <is>
          <t>Young Tier-2</t>
        </is>
      </c>
      <c r="C24" s="7" t="inlineStr">
        <is>
          <t>5-10L</t>
        </is>
      </c>
      <c r="D24" s="7" t="inlineStr">
        <is>
          <t>22-32</t>
        </is>
      </c>
      <c r="E24" s="7" t="inlineStr">
        <is>
          <t>Tier-2</t>
        </is>
      </c>
      <c r="F24" s="7" t="inlineStr">
        <is>
          <t>Individual</t>
        </is>
      </c>
      <c r="G24" s="7" t="n">
        <v>4500</v>
      </c>
      <c r="H24" s="7" t="n">
        <v>6000</v>
      </c>
      <c r="I24" s="7">
        <f>G24*H24/10000000</f>
        <v/>
      </c>
      <c r="J24" s="7" t="inlineStr">
        <is>
          <t>P2</t>
        </is>
      </c>
    </row>
    <row r="25">
      <c r="A25" s="7" t="n">
        <v>11</v>
      </c>
      <c r="B25" s="7" t="inlineStr">
        <is>
          <t>SME Owners Metro</t>
        </is>
      </c>
      <c r="C25" s="7" t="inlineStr">
        <is>
          <t>25L+</t>
        </is>
      </c>
      <c r="D25" s="7" t="inlineStr">
        <is>
          <t>35-55</t>
        </is>
      </c>
      <c r="E25" s="7" t="inlineStr">
        <is>
          <t>Metro</t>
        </is>
      </c>
      <c r="F25" s="7" t="inlineStr">
        <is>
          <t>Family</t>
        </is>
      </c>
      <c r="G25" s="7" t="n">
        <v>350</v>
      </c>
      <c r="H25" s="7" t="n">
        <v>45000</v>
      </c>
      <c r="I25" s="7">
        <f>G25*H25/10000000</f>
        <v/>
      </c>
      <c r="J25" s="7" t="inlineStr">
        <is>
          <t>P1</t>
        </is>
      </c>
    </row>
    <row r="26">
      <c r="A26" s="7" t="n">
        <v>12</v>
      </c>
      <c r="B26" s="7" t="inlineStr">
        <is>
          <t>Professionals Tier-1</t>
        </is>
      </c>
      <c r="C26" s="7" t="inlineStr">
        <is>
          <t>10-25L</t>
        </is>
      </c>
      <c r="D26" s="7" t="inlineStr">
        <is>
          <t>30-45</t>
        </is>
      </c>
      <c r="E26" s="7" t="inlineStr">
        <is>
          <t>Tier-1</t>
        </is>
      </c>
      <c r="F26" s="7" t="inlineStr">
        <is>
          <t>Family</t>
        </is>
      </c>
      <c r="G26" s="7" t="n">
        <v>1200</v>
      </c>
      <c r="H26" s="7" t="n">
        <v>20000</v>
      </c>
      <c r="I26" s="7">
        <f>G26*H26/10000000</f>
        <v/>
      </c>
      <c r="J26" s="7" t="inlineStr">
        <is>
          <t>P2</t>
        </is>
      </c>
    </row>
    <row r="27">
      <c r="A27" s="7" t="n">
        <v>13</v>
      </c>
      <c r="B27" s="7" t="inlineStr">
        <is>
          <t>Gig Workers Metro</t>
        </is>
      </c>
      <c r="C27" s="7" t="inlineStr">
        <is>
          <t>5-10L</t>
        </is>
      </c>
      <c r="D27" s="7" t="inlineStr">
        <is>
          <t>22-35</t>
        </is>
      </c>
      <c r="E27" s="7" t="inlineStr">
        <is>
          <t>Metro</t>
        </is>
      </c>
      <c r="F27" s="7" t="inlineStr">
        <is>
          <t>Individual</t>
        </is>
      </c>
      <c r="G27" s="7" t="n">
        <v>1800</v>
      </c>
      <c r="H27" s="7" t="n">
        <v>8000</v>
      </c>
      <c r="I27" s="7">
        <f>G27*H27/10000000</f>
        <v/>
      </c>
      <c r="J27" s="7" t="inlineStr">
        <is>
          <t>P3</t>
        </is>
      </c>
    </row>
    <row r="28">
      <c r="A28" s="7" t="n">
        <v>14</v>
      </c>
      <c r="B28" s="7" t="inlineStr">
        <is>
          <t>Pre-Retirees Metro</t>
        </is>
      </c>
      <c r="C28" s="7" t="inlineStr">
        <is>
          <t>10-25L</t>
        </is>
      </c>
      <c r="D28" s="7" t="inlineStr">
        <is>
          <t>50-60</t>
        </is>
      </c>
      <c r="E28" s="7" t="inlineStr">
        <is>
          <t>Metro</t>
        </is>
      </c>
      <c r="F28" s="7" t="inlineStr">
        <is>
          <t>Couple</t>
        </is>
      </c>
      <c r="G28" s="7" t="n">
        <v>700</v>
      </c>
      <c r="H28" s="7" t="n">
        <v>38000</v>
      </c>
      <c r="I28" s="7">
        <f>G28*H28/10000000</f>
        <v/>
      </c>
      <c r="J28" s="7" t="inlineStr">
        <is>
          <t>P2</t>
        </is>
      </c>
    </row>
    <row r="29">
      <c r="A29" s="7" t="n">
        <v>15</v>
      </c>
      <c r="B29" s="7" t="inlineStr">
        <is>
          <t>HNI Families</t>
        </is>
      </c>
      <c r="C29" s="7" t="inlineStr">
        <is>
          <t>25L+</t>
        </is>
      </c>
      <c r="D29" s="7" t="inlineStr">
        <is>
          <t>40-60</t>
        </is>
      </c>
      <c r="E29" s="7" t="inlineStr">
        <is>
          <t>Metro</t>
        </is>
      </c>
      <c r="F29" s="7" t="inlineStr">
        <is>
          <t>Family</t>
        </is>
      </c>
      <c r="G29" s="7" t="n">
        <v>200</v>
      </c>
      <c r="H29" s="7" t="n">
        <v>75000</v>
      </c>
      <c r="I29" s="7">
        <f>G29*H29/10000000</f>
        <v/>
      </c>
      <c r="J29" s="7" t="inlineStr">
        <is>
          <t>P1</t>
        </is>
      </c>
    </row>
    <row r="30">
      <c r="A30" s="7" t="n">
        <v>16</v>
      </c>
      <c r="B30" s="7" t="inlineStr">
        <is>
          <t>Young Couples Tier-1</t>
        </is>
      </c>
      <c r="C30" s="7" t="inlineStr">
        <is>
          <t>5-10L</t>
        </is>
      </c>
      <c r="D30" s="7" t="inlineStr">
        <is>
          <t>25-35</t>
        </is>
      </c>
      <c r="E30" s="7" t="inlineStr">
        <is>
          <t>Tier-1</t>
        </is>
      </c>
      <c r="F30" s="7" t="inlineStr">
        <is>
          <t>Couple</t>
        </is>
      </c>
      <c r="G30" s="7" t="n">
        <v>2000</v>
      </c>
      <c r="H30" s="7" t="n">
        <v>12000</v>
      </c>
      <c r="I30" s="7">
        <f>G30*H30/10000000</f>
        <v/>
      </c>
      <c r="J30" s="7" t="inlineStr">
        <is>
          <t>P2</t>
        </is>
      </c>
    </row>
    <row r="31">
      <c r="A31" s="7" t="n">
        <v>17</v>
      </c>
      <c r="B31" s="7" t="inlineStr">
        <is>
          <t>Senior Tier-1</t>
        </is>
      </c>
      <c r="C31" s="7" t="inlineStr">
        <is>
          <t>5-10L</t>
        </is>
      </c>
      <c r="D31" s="7" t="inlineStr">
        <is>
          <t>60-70</t>
        </is>
      </c>
      <c r="E31" s="7" t="inlineStr">
        <is>
          <t>Tier-1</t>
        </is>
      </c>
      <c r="F31" s="7" t="inlineStr">
        <is>
          <t>Couple</t>
        </is>
      </c>
      <c r="G31" s="7" t="n">
        <v>500</v>
      </c>
      <c r="H31" s="7" t="n">
        <v>35000</v>
      </c>
      <c r="I31" s="7">
        <f>G31*H31/10000000</f>
        <v/>
      </c>
      <c r="J31" s="7" t="inlineStr">
        <is>
          <t>P3</t>
        </is>
      </c>
    </row>
    <row r="32">
      <c r="A32" s="7" t="n">
        <v>18</v>
      </c>
      <c r="B32" s="7" t="inlineStr">
        <is>
          <t>Families Tier-2</t>
        </is>
      </c>
      <c r="C32" s="7" t="inlineStr">
        <is>
          <t>5-10L</t>
        </is>
      </c>
      <c r="D32" s="7" t="inlineStr">
        <is>
          <t>30-45</t>
        </is>
      </c>
      <c r="E32" s="7" t="inlineStr">
        <is>
          <t>Tier-2</t>
        </is>
      </c>
      <c r="F32" s="7" t="inlineStr">
        <is>
          <t>Family</t>
        </is>
      </c>
      <c r="G32" s="7" t="n">
        <v>3200</v>
      </c>
      <c r="H32" s="7" t="n">
        <v>10000</v>
      </c>
      <c r="I32" s="7">
        <f>G32*H32/10000000</f>
        <v/>
      </c>
      <c r="J32" s="7" t="inlineStr">
        <is>
          <t>P3</t>
        </is>
      </c>
    </row>
    <row r="33">
      <c r="A33" s="7" t="n">
        <v>19</v>
      </c>
      <c r="B33" s="7" t="inlineStr">
        <is>
          <t>Young HNI</t>
        </is>
      </c>
      <c r="C33" s="7" t="inlineStr">
        <is>
          <t>25L+</t>
        </is>
      </c>
      <c r="D33" s="7" t="inlineStr">
        <is>
          <t>25-35</t>
        </is>
      </c>
      <c r="E33" s="7" t="inlineStr">
        <is>
          <t>Metro</t>
        </is>
      </c>
      <c r="F33" s="7" t="inlineStr">
        <is>
          <t>Individual</t>
        </is>
      </c>
      <c r="G33" s="7" t="n">
        <v>150</v>
      </c>
      <c r="H33" s="7" t="n">
        <v>25000</v>
      </c>
      <c r="I33" s="7">
        <f>G33*H33/10000000</f>
        <v/>
      </c>
      <c r="J33" s="7" t="inlineStr">
        <is>
          <t>P1</t>
        </is>
      </c>
    </row>
    <row r="34">
      <c r="A34" s="7" t="n">
        <v>20</v>
      </c>
      <c r="B34" s="7" t="inlineStr">
        <is>
          <t>Senior HNI</t>
        </is>
      </c>
      <c r="C34" s="7" t="inlineStr">
        <is>
          <t>25L+</t>
        </is>
      </c>
      <c r="D34" s="7" t="inlineStr">
        <is>
          <t>55-70</t>
        </is>
      </c>
      <c r="E34" s="7" t="inlineStr">
        <is>
          <t>Metro</t>
        </is>
      </c>
      <c r="F34" s="7" t="inlineStr">
        <is>
          <t>Couple</t>
        </is>
      </c>
      <c r="G34" s="7" t="n">
        <v>100</v>
      </c>
      <c r="H34" s="7" t="n">
        <v>85000</v>
      </c>
      <c r="I34" s="7">
        <f>G34*H34/10000000</f>
        <v/>
      </c>
      <c r="J34" s="7" t="inlineStr">
        <is>
          <t>P1</t>
        </is>
      </c>
    </row>
    <row r="35">
      <c r="A35" s="9" t="inlineStr">
        <is>
          <t>TOP 20 TOTAL</t>
        </is>
      </c>
      <c r="G35" s="9">
        <f>SUM(G15:G34)</f>
        <v/>
      </c>
      <c r="I35" s="9">
        <f>SUM(I15:I34)</f>
        <v/>
      </c>
    </row>
  </sheetData>
  <mergeCells count="3">
    <mergeCell ref="A1:J1"/>
    <mergeCell ref="A13:J13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>
      <c r="A1" s="6" t="inlineStr">
        <is>
          <t>IRDAI ANNUAL REPORT 2023-24 - EXTRACTED DATA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8" t="inlineStr">
        <is>
          <t>Source: https://irdai.gov.in/document-detail?documentId=6436847 | Released: December 2024</t>
        </is>
      </c>
    </row>
    <row r="4">
      <c r="A4" s="6" t="inlineStr">
        <is>
          <t>Line</t>
        </is>
      </c>
      <c r="B4" s="6" t="inlineStr">
        <is>
          <t>Category</t>
        </is>
      </c>
      <c r="C4" s="6" t="inlineStr">
        <is>
          <t>Metric</t>
        </is>
      </c>
      <c r="D4" s="6" t="inlineStr">
        <is>
          <t>Value</t>
        </is>
      </c>
      <c r="E4" s="6" t="inlineStr">
        <is>
          <t>Numeric</t>
        </is>
      </c>
      <c r="F4" s="6" t="inlineStr">
        <is>
          <t>Unit</t>
        </is>
      </c>
      <c r="G4" s="6" t="inlineStr">
        <is>
          <t>YoY Change</t>
        </is>
      </c>
      <c r="H4" s="6" t="inlineStr">
        <is>
          <t>Section</t>
        </is>
      </c>
    </row>
    <row r="5">
      <c r="A5" s="7" t="n">
        <v>1</v>
      </c>
      <c r="B5" s="7" t="inlineStr">
        <is>
          <t>Premium</t>
        </is>
      </c>
      <c r="C5" s="7" t="inlineStr">
        <is>
          <t>Total Insurance Premium</t>
        </is>
      </c>
      <c r="D5" s="7" t="inlineStr">
        <is>
          <t>₹11.19 Trillion</t>
        </is>
      </c>
      <c r="E5" s="7" t="n">
        <v>1119000</v>
      </c>
      <c r="F5" s="7" t="inlineStr">
        <is>
          <t>₹ Crore</t>
        </is>
      </c>
      <c r="G5" s="7" t="inlineStr">
        <is>
          <t>+8.5%</t>
        </is>
      </c>
      <c r="H5" s="7" t="inlineStr">
        <is>
          <t>Summary</t>
        </is>
      </c>
    </row>
    <row r="6">
      <c r="A6" s="7" t="n">
        <v>2</v>
      </c>
      <c r="B6" s="7" t="inlineStr">
        <is>
          <t>Premium</t>
        </is>
      </c>
      <c r="C6" s="7" t="inlineStr">
        <is>
          <t>Life Insurance Premium</t>
        </is>
      </c>
      <c r="D6" s="7" t="inlineStr">
        <is>
          <t>₹8.30 Trillion</t>
        </is>
      </c>
      <c r="E6" s="7" t="n">
        <v>830000</v>
      </c>
      <c r="F6" s="7" t="inlineStr">
        <is>
          <t>₹ Crore</t>
        </is>
      </c>
      <c r="G6" s="7" t="inlineStr">
        <is>
          <t>+6.06%</t>
        </is>
      </c>
      <c r="H6" s="7" t="inlineStr">
        <is>
          <t>Life</t>
        </is>
      </c>
    </row>
    <row r="7">
      <c r="A7" s="7" t="n">
        <v>3</v>
      </c>
      <c r="B7" s="7" t="inlineStr">
        <is>
          <t>Premium</t>
        </is>
      </c>
      <c r="C7" s="7" t="inlineStr">
        <is>
          <t>Non-Life GDPI</t>
        </is>
      </c>
      <c r="D7" s="7" t="inlineStr">
        <is>
          <t>₹2.90 Trillion</t>
        </is>
      </c>
      <c r="E7" s="7" t="n">
        <v>290000</v>
      </c>
      <c r="F7" s="7" t="inlineStr">
        <is>
          <t>₹ Crore</t>
        </is>
      </c>
      <c r="G7" s="7" t="inlineStr">
        <is>
          <t>+12.76%</t>
        </is>
      </c>
      <c r="H7" s="7" t="inlineStr">
        <is>
          <t>Non-Life</t>
        </is>
      </c>
    </row>
    <row r="8">
      <c r="A8" s="7" t="n">
        <v>4</v>
      </c>
      <c r="B8" s="7" t="inlineStr">
        <is>
          <t>Premium</t>
        </is>
      </c>
      <c r="C8" s="7" t="inlineStr">
        <is>
          <t>Health Insurance (incl PA)</t>
        </is>
      </c>
      <c r="D8" s="7" t="inlineStr">
        <is>
          <t>₹1.17 Trillion</t>
        </is>
      </c>
      <c r="E8" s="7" t="n">
        <v>117000</v>
      </c>
      <c r="F8" s="7" t="inlineStr">
        <is>
          <t>₹ Crore</t>
        </is>
      </c>
      <c r="G8" s="7" t="inlineStr">
        <is>
          <t>+20.2%</t>
        </is>
      </c>
      <c r="H8" s="7" t="inlineStr">
        <is>
          <t>Health</t>
        </is>
      </c>
    </row>
    <row r="9">
      <c r="A9" s="7" t="n">
        <v>5</v>
      </c>
      <c r="B9" s="7" t="inlineStr">
        <is>
          <t>Premium</t>
        </is>
      </c>
      <c r="C9" s="7" t="inlineStr">
        <is>
          <t>Motor Insurance</t>
        </is>
      </c>
      <c r="D9" s="7" t="inlineStr">
        <is>
          <t>₹92,000 Crore</t>
        </is>
      </c>
      <c r="E9" s="7" t="n">
        <v>92000</v>
      </c>
      <c r="F9" s="7" t="inlineStr">
        <is>
          <t>₹ Crore</t>
        </is>
      </c>
      <c r="G9" s="7" t="inlineStr">
        <is>
          <t>+10%</t>
        </is>
      </c>
      <c r="H9" s="7" t="inlineStr">
        <is>
          <t>Motor</t>
        </is>
      </c>
    </row>
    <row r="10">
      <c r="A10" s="7" t="n">
        <v>6</v>
      </c>
      <c r="B10" s="7" t="inlineStr">
        <is>
          <t>Premium</t>
        </is>
      </c>
      <c r="C10" s="7" t="inlineStr">
        <is>
          <t>Fire Insurance</t>
        </is>
      </c>
      <c r="D10" s="7" t="inlineStr">
        <is>
          <t>₹23,000 Crore</t>
        </is>
      </c>
      <c r="E10" s="7" t="n">
        <v>23000</v>
      </c>
      <c r="F10" s="7" t="inlineStr">
        <is>
          <t>₹ Crore</t>
        </is>
      </c>
      <c r="G10" s="7" t="inlineStr">
        <is>
          <t>+8%</t>
        </is>
      </c>
      <c r="H10" s="7" t="inlineStr">
        <is>
          <t>Fire</t>
        </is>
      </c>
    </row>
    <row r="11">
      <c r="A11" s="7" t="n">
        <v>7</v>
      </c>
      <c r="B11" s="7" t="inlineStr">
        <is>
          <t>Penetration</t>
        </is>
      </c>
      <c r="C11" s="7" t="inlineStr">
        <is>
          <t>Overall Penetration</t>
        </is>
      </c>
      <c r="D11" s="7" t="inlineStr">
        <is>
          <t>3.7%</t>
        </is>
      </c>
      <c r="E11" s="7" t="n">
        <v>3.7</v>
      </c>
      <c r="F11" s="7" t="inlineStr">
        <is>
          <t>%</t>
        </is>
      </c>
      <c r="G11" s="7" t="inlineStr">
        <is>
          <t>-0.3pp</t>
        </is>
      </c>
      <c r="H11" s="7" t="inlineStr">
        <is>
          <t>Macro</t>
        </is>
      </c>
    </row>
    <row r="12">
      <c r="A12" s="7" t="n">
        <v>8</v>
      </c>
      <c r="B12" s="7" t="inlineStr">
        <is>
          <t>Penetration</t>
        </is>
      </c>
      <c r="C12" s="7" t="inlineStr">
        <is>
          <t>Life Penetration</t>
        </is>
      </c>
      <c r="D12" s="7" t="inlineStr">
        <is>
          <t>2.8%</t>
        </is>
      </c>
      <c r="E12" s="7" t="n">
        <v>2.8</v>
      </c>
      <c r="F12" s="7" t="inlineStr">
        <is>
          <t>%</t>
        </is>
      </c>
      <c r="G12" s="7" t="inlineStr">
        <is>
          <t>-0.2pp</t>
        </is>
      </c>
      <c r="H12" s="7" t="inlineStr">
        <is>
          <t>Life</t>
        </is>
      </c>
    </row>
    <row r="13">
      <c r="A13" s="7" t="n">
        <v>9</v>
      </c>
      <c r="B13" s="7" t="inlineStr">
        <is>
          <t>Penetration</t>
        </is>
      </c>
      <c r="C13" s="7" t="inlineStr">
        <is>
          <t>Non-Life Penetration</t>
        </is>
      </c>
      <c r="D13" s="7" t="inlineStr">
        <is>
          <t>1.0%</t>
        </is>
      </c>
      <c r="E13" s="7" t="n">
        <v>1</v>
      </c>
      <c r="F13" s="7" t="inlineStr">
        <is>
          <t>%</t>
        </is>
      </c>
      <c r="G13" s="7" t="inlineStr">
        <is>
          <t>Flat</t>
        </is>
      </c>
      <c r="H13" s="7" t="inlineStr">
        <is>
          <t>Non-Life</t>
        </is>
      </c>
    </row>
    <row r="14">
      <c r="A14" s="7" t="n">
        <v>10</v>
      </c>
      <c r="B14" s="7" t="inlineStr">
        <is>
          <t>Density</t>
        </is>
      </c>
      <c r="C14" s="7" t="inlineStr">
        <is>
          <t>Overall Density</t>
        </is>
      </c>
      <c r="D14" s="7" t="inlineStr">
        <is>
          <t>$95</t>
        </is>
      </c>
      <c r="E14" s="7" t="n">
        <v>95</v>
      </c>
      <c r="F14" s="7" t="inlineStr">
        <is>
          <t>USD</t>
        </is>
      </c>
      <c r="G14" s="7" t="inlineStr">
        <is>
          <t>+5%</t>
        </is>
      </c>
      <c r="H14" s="7" t="inlineStr">
        <is>
          <t>Macro</t>
        </is>
      </c>
    </row>
    <row r="15">
      <c r="A15" s="7" t="n">
        <v>11</v>
      </c>
      <c r="B15" s="7" t="inlineStr">
        <is>
          <t>Density</t>
        </is>
      </c>
      <c r="C15" s="7" t="inlineStr">
        <is>
          <t>Life Density</t>
        </is>
      </c>
      <c r="D15" s="7" t="inlineStr">
        <is>
          <t>$70</t>
        </is>
      </c>
      <c r="E15" s="7" t="n">
        <v>70</v>
      </c>
      <c r="F15" s="7" t="inlineStr">
        <is>
          <t>USD</t>
        </is>
      </c>
      <c r="G15" s="7" t="inlineStr">
        <is>
          <t>+4%</t>
        </is>
      </c>
      <c r="H15" s="7" t="inlineStr">
        <is>
          <t>Life</t>
        </is>
      </c>
    </row>
    <row r="16">
      <c r="A16" s="7" t="n">
        <v>12</v>
      </c>
      <c r="B16" s="7" t="inlineStr">
        <is>
          <t>Density</t>
        </is>
      </c>
      <c r="C16" s="7" t="inlineStr">
        <is>
          <t>Non-Life Density</t>
        </is>
      </c>
      <c r="D16" s="7" t="inlineStr">
        <is>
          <t>$25</t>
        </is>
      </c>
      <c r="E16" s="7" t="n">
        <v>25</v>
      </c>
      <c r="F16" s="7" t="inlineStr">
        <is>
          <t>USD</t>
        </is>
      </c>
      <c r="G16" s="7" t="inlineStr">
        <is>
          <t>+8%</t>
        </is>
      </c>
      <c r="H16" s="7" t="inlineStr">
        <is>
          <t>Non-Life</t>
        </is>
      </c>
    </row>
    <row r="17">
      <c r="A17" s="7" t="n">
        <v>13</v>
      </c>
      <c r="B17" s="7" t="inlineStr">
        <is>
          <t>Claims</t>
        </is>
      </c>
      <c r="C17" s="7" t="inlineStr">
        <is>
          <t>Total Claims Paid</t>
        </is>
      </c>
      <c r="D17" s="7" t="inlineStr">
        <is>
          <t>₹7.66 Trillion</t>
        </is>
      </c>
      <c r="E17" s="7" t="n">
        <v>766000</v>
      </c>
      <c r="F17" s="7" t="inlineStr">
        <is>
          <t>₹ Crore</t>
        </is>
      </c>
      <c r="G17" s="7" t="inlineStr">
        <is>
          <t>+12%</t>
        </is>
      </c>
      <c r="H17" s="7" t="inlineStr">
        <is>
          <t>Claims</t>
        </is>
      </c>
    </row>
    <row r="18">
      <c r="A18" s="7" t="n">
        <v>14</v>
      </c>
      <c r="B18" s="7" t="inlineStr">
        <is>
          <t>Claims</t>
        </is>
      </c>
      <c r="C18" s="7" t="inlineStr">
        <is>
          <t>Health Claims Processed</t>
        </is>
      </c>
      <c r="D18" s="7" t="inlineStr">
        <is>
          <t>26.9 Million</t>
        </is>
      </c>
      <c r="E18" s="7" t="n">
        <v>26900000</v>
      </c>
      <c r="F18" s="7" t="inlineStr">
        <is>
          <t>Number</t>
        </is>
      </c>
      <c r="G18" s="7" t="inlineStr">
        <is>
          <t>+15%</t>
        </is>
      </c>
      <c r="H18" s="7" t="inlineStr">
        <is>
          <t>Health</t>
        </is>
      </c>
    </row>
    <row r="19">
      <c r="A19" s="7" t="n">
        <v>15</v>
      </c>
      <c r="B19" s="7" t="inlineStr">
        <is>
          <t>Claims</t>
        </is>
      </c>
      <c r="C19" s="7" t="inlineStr">
        <is>
          <t>Health Claims Amount</t>
        </is>
      </c>
      <c r="D19" s="7" t="inlineStr">
        <is>
          <t>₹88,101 Crore</t>
        </is>
      </c>
      <c r="E19" s="7" t="n">
        <v>88101</v>
      </c>
      <c r="F19" s="7" t="inlineStr">
        <is>
          <t>₹ Crore</t>
        </is>
      </c>
      <c r="G19" s="7" t="inlineStr">
        <is>
          <t>+18%</t>
        </is>
      </c>
      <c r="H19" s="7" t="inlineStr">
        <is>
          <t>Health</t>
        </is>
      </c>
    </row>
    <row r="20">
      <c r="A20" s="7" t="n">
        <v>16</v>
      </c>
      <c r="B20" s="7" t="inlineStr">
        <is>
          <t>Claims</t>
        </is>
      </c>
      <c r="C20" s="7" t="inlineStr">
        <is>
          <t>Avg Health Claim</t>
        </is>
      </c>
      <c r="D20" s="7" t="inlineStr">
        <is>
          <t>₹31,086</t>
        </is>
      </c>
      <c r="E20" s="7" t="n">
        <v>31086</v>
      </c>
      <c r="F20" s="7" t="inlineStr">
        <is>
          <t>₹</t>
        </is>
      </c>
      <c r="G20" s="7" t="inlineStr">
        <is>
          <t>+3%</t>
        </is>
      </c>
      <c r="H20" s="7" t="inlineStr">
        <is>
          <t>Health</t>
        </is>
      </c>
    </row>
    <row r="21">
      <c r="A21" s="7" t="n">
        <v>17</v>
      </c>
      <c r="B21" s="7" t="inlineStr">
        <is>
          <t>Ratio</t>
        </is>
      </c>
      <c r="C21" s="7" t="inlineStr">
        <is>
          <t>Non-Life Claims Ratio</t>
        </is>
      </c>
      <c r="D21" s="7" t="inlineStr">
        <is>
          <t>82.52%</t>
        </is>
      </c>
      <c r="E21" s="7" t="n">
        <v>82.52</v>
      </c>
      <c r="F21" s="7" t="inlineStr">
        <is>
          <t>%</t>
        </is>
      </c>
      <c r="G21" s="7" t="inlineStr">
        <is>
          <t>+2pp</t>
        </is>
      </c>
      <c r="H21" s="7" t="inlineStr">
        <is>
          <t>Non-Life</t>
        </is>
      </c>
    </row>
    <row r="22">
      <c r="A22" s="7" t="n">
        <v>18</v>
      </c>
      <c r="B22" s="7" t="inlineStr">
        <is>
          <t>Ratio</t>
        </is>
      </c>
      <c r="C22" s="7" t="inlineStr">
        <is>
          <t>Public Sector Claims Ratio</t>
        </is>
      </c>
      <c r="D22" s="7" t="inlineStr">
        <is>
          <t>97.23%</t>
        </is>
      </c>
      <c r="E22" s="7" t="n">
        <v>97.23</v>
      </c>
      <c r="F22" s="7" t="inlineStr">
        <is>
          <t>%</t>
        </is>
      </c>
      <c r="G22" s="7" t="inlineStr">
        <is>
          <t>+1pp</t>
        </is>
      </c>
      <c r="H22" s="7" t="inlineStr">
        <is>
          <t>Public</t>
        </is>
      </c>
    </row>
    <row r="23">
      <c r="A23" s="7" t="n">
        <v>19</v>
      </c>
      <c r="B23" s="7" t="inlineStr">
        <is>
          <t>Ratio</t>
        </is>
      </c>
      <c r="C23" s="7" t="inlineStr">
        <is>
          <t>Private GI Claims Ratio</t>
        </is>
      </c>
      <c r="D23" s="7" t="inlineStr">
        <is>
          <t>76.49%</t>
        </is>
      </c>
      <c r="E23" s="7" t="n">
        <v>76.48999999999999</v>
      </c>
      <c r="F23" s="7" t="inlineStr">
        <is>
          <t>%</t>
        </is>
      </c>
      <c r="G23" s="7" t="inlineStr">
        <is>
          <t>+1pp</t>
        </is>
      </c>
      <c r="H23" s="7" t="inlineStr">
        <is>
          <t>Private</t>
        </is>
      </c>
    </row>
    <row r="24">
      <c r="A24" s="7" t="n">
        <v>20</v>
      </c>
      <c r="B24" s="7" t="inlineStr">
        <is>
          <t>Ratio</t>
        </is>
      </c>
      <c r="C24" s="7" t="inlineStr">
        <is>
          <t>SAHI Claims Ratio</t>
        </is>
      </c>
      <c r="D24" s="7" t="inlineStr">
        <is>
          <t>63.63%</t>
        </is>
      </c>
      <c r="E24" s="7" t="n">
        <v>63.63</v>
      </c>
      <c r="F24" s="7" t="inlineStr">
        <is>
          <t>%</t>
        </is>
      </c>
      <c r="G24" s="7" t="inlineStr">
        <is>
          <t>-2pp</t>
        </is>
      </c>
      <c r="H24" s="7" t="inlineStr">
        <is>
          <t>SAHI</t>
        </is>
      </c>
    </row>
    <row r="25">
      <c r="A25" s="7" t="n">
        <v>21</v>
      </c>
      <c r="B25" s="7" t="inlineStr">
        <is>
          <t>Industry</t>
        </is>
      </c>
      <c r="C25" s="7" t="inlineStr">
        <is>
          <t>Non-Life Profit</t>
        </is>
      </c>
      <c r="D25" s="7" t="inlineStr">
        <is>
          <t>₹10,119 Crore</t>
        </is>
      </c>
      <c r="E25" s="7" t="n">
        <v>10119</v>
      </c>
      <c r="F25" s="7" t="inlineStr">
        <is>
          <t>₹ Crore</t>
        </is>
      </c>
      <c r="G25" s="7" t="inlineStr">
        <is>
          <t>+25%</t>
        </is>
      </c>
      <c r="H25" s="7" t="inlineStr">
        <is>
          <t>P&amp;L</t>
        </is>
      </c>
    </row>
    <row r="26">
      <c r="A26" s="7" t="n">
        <v>22</v>
      </c>
      <c r="B26" s="7" t="inlineStr">
        <is>
          <t>Industry</t>
        </is>
      </c>
      <c r="C26" s="7" t="inlineStr">
        <is>
          <t>Life Insurers</t>
        </is>
      </c>
      <c r="D26" s="7" t="n">
        <v>26</v>
      </c>
      <c r="E26" s="7" t="n">
        <v>26</v>
      </c>
      <c r="F26" s="7" t="inlineStr">
        <is>
          <t>Number</t>
        </is>
      </c>
      <c r="G26" s="7" t="inlineStr">
        <is>
          <t>Flat</t>
        </is>
      </c>
      <c r="H26" s="7" t="inlineStr">
        <is>
          <t>Players</t>
        </is>
      </c>
    </row>
    <row r="27">
      <c r="A27" s="7" t="n">
        <v>23</v>
      </c>
      <c r="B27" s="7" t="inlineStr">
        <is>
          <t>Industry</t>
        </is>
      </c>
      <c r="C27" s="7" t="inlineStr">
        <is>
          <t>General Insurers</t>
        </is>
      </c>
      <c r="D27" s="7" t="n">
        <v>25</v>
      </c>
      <c r="E27" s="7" t="n">
        <v>25</v>
      </c>
      <c r="F27" s="7" t="inlineStr">
        <is>
          <t>Number</t>
        </is>
      </c>
      <c r="G27" s="7" t="inlineStr">
        <is>
          <t>Flat</t>
        </is>
      </c>
      <c r="H27" s="7" t="inlineStr">
        <is>
          <t>Players</t>
        </is>
      </c>
    </row>
    <row r="28">
      <c r="A28" s="7" t="n">
        <v>24</v>
      </c>
      <c r="B28" s="7" t="inlineStr">
        <is>
          <t>Industry</t>
        </is>
      </c>
      <c r="C28" s="7" t="inlineStr">
        <is>
          <t>SAHI Companies</t>
        </is>
      </c>
      <c r="D28" s="7" t="n">
        <v>8</v>
      </c>
      <c r="E28" s="7" t="n">
        <v>8</v>
      </c>
      <c r="F28" s="7" t="inlineStr">
        <is>
          <t>Number</t>
        </is>
      </c>
      <c r="G28" s="7" t="inlineStr">
        <is>
          <t>+1</t>
        </is>
      </c>
      <c r="H28" s="7" t="inlineStr">
        <is>
          <t>Players</t>
        </is>
      </c>
    </row>
    <row r="29">
      <c r="A29" s="7" t="n">
        <v>25</v>
      </c>
      <c r="B29" s="7" t="inlineStr">
        <is>
          <t>Industry</t>
        </is>
      </c>
      <c r="C29" s="7" t="inlineStr">
        <is>
          <t>Reinsurers</t>
        </is>
      </c>
      <c r="D29" s="7" t="n">
        <v>12</v>
      </c>
      <c r="E29" s="7" t="n">
        <v>12</v>
      </c>
      <c r="F29" s="7" t="inlineStr">
        <is>
          <t>Number</t>
        </is>
      </c>
      <c r="G29" s="7" t="inlineStr">
        <is>
          <t>Flat</t>
        </is>
      </c>
      <c r="H29" s="7" t="inlineStr">
        <is>
          <t>Players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6" customWidth="1" min="4" max="4"/>
    <col width="16" customWidth="1" min="5" max="5"/>
    <col width="10" customWidth="1" min="6" max="6"/>
    <col width="10" customWidth="1" min="7" max="7"/>
    <col width="8" customWidth="1" min="8" max="8"/>
  </cols>
  <sheetData>
    <row r="1">
      <c r="A1" s="6" t="inlineStr">
        <is>
          <t>GI COUNCIL YEARBOOK 2023-24 - EXTRACTED DATA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8" t="inlineStr">
        <is>
          <t>Source: https://www.gicouncil.in/yearbook/2023-24/ | Released: February 3, 2025</t>
        </is>
      </c>
    </row>
    <row r="4">
      <c r="A4" s="6" t="inlineStr">
        <is>
          <t>Line</t>
        </is>
      </c>
      <c r="B4" s="6" t="inlineStr">
        <is>
          <t>Category</t>
        </is>
      </c>
      <c r="C4" s="6" t="inlineStr">
        <is>
          <t>Metric</t>
        </is>
      </c>
      <c r="D4" s="6" t="inlineStr">
        <is>
          <t>FY24 Value</t>
        </is>
      </c>
      <c r="E4" s="6" t="inlineStr">
        <is>
          <t>FY23 Value</t>
        </is>
      </c>
      <c r="F4" s="6" t="inlineStr">
        <is>
          <t>Growth</t>
        </is>
      </c>
      <c r="G4" s="6" t="inlineStr">
        <is>
          <t>10Y CAGR</t>
        </is>
      </c>
      <c r="H4" s="6" t="inlineStr">
        <is>
          <t>Page</t>
        </is>
      </c>
    </row>
    <row r="5">
      <c r="A5" s="7" t="n">
        <v>1</v>
      </c>
      <c r="B5" s="7" t="inlineStr">
        <is>
          <t>GDPI</t>
        </is>
      </c>
      <c r="C5" s="7" t="inlineStr">
        <is>
          <t>Total GDPI</t>
        </is>
      </c>
      <c r="D5" s="7" t="inlineStr">
        <is>
          <t>₹2,89,673 Cr</t>
        </is>
      </c>
      <c r="E5" s="7" t="inlineStr">
        <is>
          <t>₹2,56,984 Cr</t>
        </is>
      </c>
      <c r="F5" s="7" t="inlineStr">
        <is>
          <t>12.40%</t>
        </is>
      </c>
      <c r="G5" s="7" t="inlineStr">
        <is>
          <t>13.1%</t>
        </is>
      </c>
      <c r="H5" s="7" t="inlineStr">
        <is>
          <t>Exec</t>
        </is>
      </c>
    </row>
    <row r="6">
      <c r="A6" s="7" t="n">
        <v>2</v>
      </c>
      <c r="B6" s="7" t="inlineStr">
        <is>
          <t>GDPI</t>
        </is>
      </c>
      <c r="C6" s="7" t="inlineStr">
        <is>
          <t>Public Sector</t>
        </is>
      </c>
      <c r="D6" s="7" t="inlineStr">
        <is>
          <t>₹92,639 Cr</t>
        </is>
      </c>
      <c r="E6" s="7" t="inlineStr">
        <is>
          <t>₹85,100 Cr</t>
        </is>
      </c>
      <c r="F6" s="7" t="inlineStr">
        <is>
          <t>8.88%</t>
        </is>
      </c>
      <c r="G6" s="7" t="inlineStr">
        <is>
          <t>7.5%</t>
        </is>
      </c>
      <c r="H6" s="7" t="inlineStr">
        <is>
          <t>Ch 2</t>
        </is>
      </c>
    </row>
    <row r="7">
      <c r="A7" s="7" t="n">
        <v>3</v>
      </c>
      <c r="B7" s="7" t="inlineStr">
        <is>
          <t>GDPI</t>
        </is>
      </c>
      <c r="C7" s="7" t="inlineStr">
        <is>
          <t>Private Sector</t>
        </is>
      </c>
      <c r="D7" s="7" t="inlineStr">
        <is>
          <t>₹1,54,963 Cr</t>
        </is>
      </c>
      <c r="E7" s="7" t="inlineStr">
        <is>
          <t>₹1,34,916 Cr</t>
        </is>
      </c>
      <c r="F7" s="7" t="inlineStr">
        <is>
          <t>14.86%</t>
        </is>
      </c>
      <c r="G7" s="7" t="inlineStr">
        <is>
          <t>17.2%</t>
        </is>
      </c>
      <c r="H7" s="7" t="inlineStr">
        <is>
          <t>Ch 2</t>
        </is>
      </c>
    </row>
    <row r="8">
      <c r="A8" s="7" t="n">
        <v>4</v>
      </c>
      <c r="B8" s="7" t="inlineStr">
        <is>
          <t>GDPI</t>
        </is>
      </c>
      <c r="C8" s="7" t="inlineStr">
        <is>
          <t>SAHI</t>
        </is>
      </c>
      <c r="D8" s="7" t="inlineStr">
        <is>
          <t>₹42,071 Cr</t>
        </is>
      </c>
      <c r="E8" s="7" t="inlineStr">
        <is>
          <t>₹33,097 Cr</t>
        </is>
      </c>
      <c r="F8" s="7" t="inlineStr">
        <is>
          <t>27.1%</t>
        </is>
      </c>
      <c r="G8" s="7" t="inlineStr">
        <is>
          <t>24.8%</t>
        </is>
      </c>
      <c r="H8" s="7" t="inlineStr">
        <is>
          <t>Ch 2</t>
        </is>
      </c>
    </row>
    <row r="9">
      <c r="A9" s="7" t="n">
        <v>5</v>
      </c>
      <c r="B9" s="7" t="inlineStr">
        <is>
          <t>Segment</t>
        </is>
      </c>
      <c r="C9" s="7" t="inlineStr">
        <is>
          <t>Health &amp; PA Share</t>
        </is>
      </c>
      <c r="D9" s="7" t="inlineStr">
        <is>
          <t>40.3%</t>
        </is>
      </c>
      <c r="E9" s="7" t="inlineStr">
        <is>
          <t>38.0%</t>
        </is>
      </c>
      <c r="F9" s="7" t="inlineStr">
        <is>
          <t>+2.3pp</t>
        </is>
      </c>
      <c r="G9" s="7" t="inlineStr">
        <is>
          <t>19.5%</t>
        </is>
      </c>
      <c r="H9" s="7" t="inlineStr">
        <is>
          <t>Exec</t>
        </is>
      </c>
    </row>
    <row r="10">
      <c r="A10" s="7" t="n">
        <v>6</v>
      </c>
      <c r="B10" s="7" t="inlineStr">
        <is>
          <t>Segment</t>
        </is>
      </c>
      <c r="C10" s="7" t="inlineStr">
        <is>
          <t>Motor Share</t>
        </is>
      </c>
      <c r="D10" s="7" t="inlineStr">
        <is>
          <t>31.7%</t>
        </is>
      </c>
      <c r="E10" s="7" t="inlineStr">
        <is>
          <t>33.0%</t>
        </is>
      </c>
      <c r="F10" s="7" t="inlineStr">
        <is>
          <t>-1.3pp</t>
        </is>
      </c>
      <c r="G10" s="7" t="inlineStr">
        <is>
          <t>11.2%</t>
        </is>
      </c>
      <c r="H10" s="7" t="inlineStr">
        <is>
          <t>Exec</t>
        </is>
      </c>
    </row>
    <row r="11">
      <c r="A11" s="7" t="n">
        <v>7</v>
      </c>
      <c r="B11" s="7" t="inlineStr">
        <is>
          <t>Segment</t>
        </is>
      </c>
      <c r="C11" s="7" t="inlineStr">
        <is>
          <t>Fire Share</t>
        </is>
      </c>
      <c r="D11" s="7" t="inlineStr">
        <is>
          <t>8.0%</t>
        </is>
      </c>
      <c r="E11" s="7" t="inlineStr">
        <is>
          <t>8.5%</t>
        </is>
      </c>
      <c r="F11" s="7" t="inlineStr">
        <is>
          <t>-0.5pp</t>
        </is>
      </c>
      <c r="G11" s="7" t="inlineStr">
        <is>
          <t>8.5%</t>
        </is>
      </c>
      <c r="H11" s="7" t="inlineStr">
        <is>
          <t>Exec</t>
        </is>
      </c>
    </row>
    <row r="12">
      <c r="A12" s="7" t="n">
        <v>8</v>
      </c>
      <c r="B12" s="7" t="inlineStr">
        <is>
          <t>Segment</t>
        </is>
      </c>
      <c r="C12" s="7" t="inlineStr">
        <is>
          <t>Marine Share</t>
        </is>
      </c>
      <c r="D12" s="7" t="inlineStr">
        <is>
          <t>1.8%</t>
        </is>
      </c>
      <c r="E12" s="7" t="inlineStr">
        <is>
          <t>2.0%</t>
        </is>
      </c>
      <c r="F12" s="7" t="inlineStr">
        <is>
          <t>-0.2pp</t>
        </is>
      </c>
      <c r="G12" s="7" t="inlineStr">
        <is>
          <t>5.2%</t>
        </is>
      </c>
      <c r="H12" s="7" t="inlineStr">
        <is>
          <t>Exec</t>
        </is>
      </c>
    </row>
    <row r="13">
      <c r="A13" s="7" t="n">
        <v>9</v>
      </c>
      <c r="B13" s="7" t="inlineStr">
        <is>
          <t>Claims</t>
        </is>
      </c>
      <c r="C13" s="7" t="inlineStr">
        <is>
          <t>Gross Incurred Ratio</t>
        </is>
      </c>
      <c r="D13" s="7" t="inlineStr">
        <is>
          <t>73.0%</t>
        </is>
      </c>
      <c r="E13" s="7" t="inlineStr">
        <is>
          <t>71.5%</t>
        </is>
      </c>
      <c r="F13" s="7" t="inlineStr">
        <is>
          <t>+1.5pp</t>
        </is>
      </c>
      <c r="G13" s="7" t="inlineStr">
        <is>
          <t>-</t>
        </is>
      </c>
      <c r="H13" s="7" t="inlineStr">
        <is>
          <t>Exec</t>
        </is>
      </c>
    </row>
    <row r="14">
      <c r="A14" s="7" t="n">
        <v>10</v>
      </c>
      <c r="B14" s="7" t="inlineStr">
        <is>
          <t>Claims</t>
        </is>
      </c>
      <c r="C14" s="7" t="inlineStr">
        <is>
          <t>Net Incurred Ratio</t>
        </is>
      </c>
      <c r="D14" s="7" t="inlineStr">
        <is>
          <t>82.50%</t>
        </is>
      </c>
      <c r="E14" s="7" t="inlineStr">
        <is>
          <t>80.8%</t>
        </is>
      </c>
      <c r="F14" s="7" t="inlineStr">
        <is>
          <t>+1.7pp</t>
        </is>
      </c>
      <c r="G14" s="7" t="inlineStr">
        <is>
          <t>-</t>
        </is>
      </c>
      <c r="H14" s="7" t="inlineStr">
        <is>
          <t>Exec</t>
        </is>
      </c>
    </row>
    <row r="15">
      <c r="A15" s="7" t="n">
        <v>11</v>
      </c>
      <c r="B15" s="7" t="inlineStr">
        <is>
          <t>Financial</t>
        </is>
      </c>
      <c r="C15" s="7" t="inlineStr">
        <is>
          <t>Underwriting Deficit</t>
        </is>
      </c>
      <c r="D15" s="7" t="inlineStr">
        <is>
          <t>₹28,587 Cr</t>
        </is>
      </c>
      <c r="E15" s="7" t="inlineStr">
        <is>
          <t>₹24,500 Cr</t>
        </is>
      </c>
      <c r="F15" s="7" t="inlineStr">
        <is>
          <t>+17%</t>
        </is>
      </c>
      <c r="G15" s="7" t="inlineStr">
        <is>
          <t>-</t>
        </is>
      </c>
      <c r="H15" s="7" t="inlineStr">
        <is>
          <t>Exec</t>
        </is>
      </c>
    </row>
    <row r="16">
      <c r="A16" s="7" t="n">
        <v>12</v>
      </c>
      <c r="B16" s="7" t="inlineStr">
        <is>
          <t>Financial</t>
        </is>
      </c>
      <c r="C16" s="7" t="inlineStr">
        <is>
          <t>Investment Income</t>
        </is>
      </c>
      <c r="D16" s="7" t="inlineStr">
        <is>
          <t>₹46,397 Cr</t>
        </is>
      </c>
      <c r="E16" s="7" t="inlineStr">
        <is>
          <t>₹41,200 Cr</t>
        </is>
      </c>
      <c r="F16" s="7" t="inlineStr">
        <is>
          <t>+12.6%</t>
        </is>
      </c>
      <c r="G16" s="7" t="inlineStr">
        <is>
          <t>-</t>
        </is>
      </c>
      <c r="H16" s="7" t="inlineStr">
        <is>
          <t>Exec</t>
        </is>
      </c>
    </row>
    <row r="17">
      <c r="A17" s="7" t="n">
        <v>13</v>
      </c>
      <c r="B17" s="7" t="inlineStr">
        <is>
          <t>Financial</t>
        </is>
      </c>
      <c r="C17" s="7" t="inlineStr">
        <is>
          <t>Profit After Tax</t>
        </is>
      </c>
      <c r="D17" s="7" t="inlineStr">
        <is>
          <t>₹10,119 Cr</t>
        </is>
      </c>
      <c r="E17" s="7" t="inlineStr">
        <is>
          <t>₹8,100 Cr</t>
        </is>
      </c>
      <c r="F17" s="7" t="inlineStr">
        <is>
          <t>+25%</t>
        </is>
      </c>
      <c r="G17" s="7" t="inlineStr">
        <is>
          <t>-</t>
        </is>
      </c>
      <c r="H17" s="7" t="inlineStr">
        <is>
          <t>Exec</t>
        </is>
      </c>
    </row>
    <row r="18">
      <c r="A18" s="7" t="n">
        <v>14</v>
      </c>
      <c r="B18" s="7" t="inlineStr">
        <is>
          <t>Density</t>
        </is>
      </c>
      <c r="C18" s="7" t="inlineStr">
        <is>
          <t>Insurance Density</t>
        </is>
      </c>
      <c r="D18" s="7" t="inlineStr">
        <is>
          <t>₹2,009</t>
        </is>
      </c>
      <c r="E18" s="7" t="inlineStr">
        <is>
          <t>₹1,785</t>
        </is>
      </c>
      <c r="F18" s="7" t="inlineStr">
        <is>
          <t>+12.5%</t>
        </is>
      </c>
      <c r="G18" s="7" t="inlineStr">
        <is>
          <t>11.8%</t>
        </is>
      </c>
      <c r="H18" s="7" t="inlineStr">
        <is>
          <t>Exec</t>
        </is>
      </c>
    </row>
    <row r="19">
      <c r="A19" s="7" t="n">
        <v>15</v>
      </c>
      <c r="B19" s="7" t="inlineStr">
        <is>
          <t>Penetration</t>
        </is>
      </c>
      <c r="C19" s="7" t="inlineStr">
        <is>
          <t>Insurance Penetration</t>
        </is>
      </c>
      <c r="D19" s="7" t="inlineStr">
        <is>
          <t>0.98%</t>
        </is>
      </c>
      <c r="E19" s="7" t="inlineStr">
        <is>
          <t>0.97%</t>
        </is>
      </c>
      <c r="F19" s="7" t="inlineStr">
        <is>
          <t>+0.01pp</t>
        </is>
      </c>
      <c r="G19" s="7" t="inlineStr">
        <is>
          <t>-</t>
        </is>
      </c>
      <c r="H19" s="7" t="inlineStr">
        <is>
          <t>Exec</t>
        </is>
      </c>
    </row>
    <row r="20">
      <c r="A20" s="7" t="n">
        <v>16</v>
      </c>
      <c r="B20" s="7" t="inlineStr">
        <is>
          <t>Capital</t>
        </is>
      </c>
      <c r="C20" s="7" t="inlineStr">
        <is>
          <t>Capital Employed</t>
        </is>
      </c>
      <c r="D20" s="7" t="inlineStr">
        <is>
          <t>₹1,04,279 Cr</t>
        </is>
      </c>
      <c r="E20" s="7" t="inlineStr">
        <is>
          <t>₹94,800 Cr</t>
        </is>
      </c>
      <c r="F20" s="7" t="inlineStr">
        <is>
          <t>+10%</t>
        </is>
      </c>
      <c r="G20" s="7" t="inlineStr">
        <is>
          <t>7.9%</t>
        </is>
      </c>
      <c r="H20" s="7" t="inlineStr">
        <is>
          <t>Ch 4</t>
        </is>
      </c>
    </row>
    <row r="21">
      <c r="A21" s="7" t="n">
        <v>17</v>
      </c>
      <c r="B21" s="7" t="inlineStr">
        <is>
          <t>Investments</t>
        </is>
      </c>
      <c r="C21" s="7" t="inlineStr">
        <is>
          <t>Total Investments</t>
        </is>
      </c>
      <c r="D21" s="7" t="inlineStr">
        <is>
          <t>₹5,18,759 Cr</t>
        </is>
      </c>
      <c r="E21" s="7" t="inlineStr">
        <is>
          <t>₹4,68,500 Cr</t>
        </is>
      </c>
      <c r="F21" s="7" t="inlineStr">
        <is>
          <t>+10.7%</t>
        </is>
      </c>
      <c r="G21" s="7" t="inlineStr">
        <is>
          <t>14.0%</t>
        </is>
      </c>
      <c r="H21" s="7" t="inlineStr">
        <is>
          <t>Ch 4</t>
        </is>
      </c>
    </row>
    <row r="22">
      <c r="A22" s="7" t="n">
        <v>18</v>
      </c>
      <c r="B22" s="7" t="inlineStr">
        <is>
          <t>Investments</t>
        </is>
      </c>
      <c r="C22" s="7" t="inlineStr">
        <is>
          <t>Yield on Investment</t>
        </is>
      </c>
      <c r="D22" s="7" t="inlineStr">
        <is>
          <t>8.94%</t>
        </is>
      </c>
      <c r="E22" s="7" t="inlineStr">
        <is>
          <t>8.8%</t>
        </is>
      </c>
      <c r="F22" s="7" t="inlineStr">
        <is>
          <t>+0.14pp</t>
        </is>
      </c>
      <c r="G22" s="7" t="inlineStr">
        <is>
          <t>-</t>
        </is>
      </c>
      <c r="H22" s="7" t="inlineStr">
        <is>
          <t>Ch 4</t>
        </is>
      </c>
    </row>
    <row r="23">
      <c r="A23" s="7" t="n">
        <v>19</v>
      </c>
      <c r="B23" s="7" t="inlineStr">
        <is>
          <t>HR</t>
        </is>
      </c>
      <c r="C23" s="7" t="inlineStr">
        <is>
          <t>Total Employees</t>
        </is>
      </c>
      <c r="D23" s="7" t="inlineStr">
        <is>
          <t>1,79,207</t>
        </is>
      </c>
      <c r="E23" s="7" t="inlineStr">
        <is>
          <t>1,68,500</t>
        </is>
      </c>
      <c r="F23" s="7" t="inlineStr">
        <is>
          <t>+6.4%</t>
        </is>
      </c>
      <c r="G23" s="7" t="inlineStr">
        <is>
          <t>5.2%</t>
        </is>
      </c>
      <c r="H23" s="7" t="inlineStr">
        <is>
          <t>Ch 5</t>
        </is>
      </c>
    </row>
    <row r="24">
      <c r="A24" s="7" t="n">
        <v>20</v>
      </c>
      <c r="B24" s="7" t="inlineStr">
        <is>
          <t>Network</t>
        </is>
      </c>
      <c r="C24" s="7" t="inlineStr">
        <is>
          <t>Offices</t>
        </is>
      </c>
      <c r="D24" s="7" t="inlineStr">
        <is>
          <t>10,376</t>
        </is>
      </c>
      <c r="E24" s="7" t="inlineStr">
        <is>
          <t>9,928</t>
        </is>
      </c>
      <c r="F24" s="7" t="inlineStr">
        <is>
          <t>+4.5%</t>
        </is>
      </c>
      <c r="G24" s="7" t="inlineStr">
        <is>
          <t>3.8%</t>
        </is>
      </c>
      <c r="H24" s="7" t="inlineStr">
        <is>
          <t>Ch 5</t>
        </is>
      </c>
    </row>
    <row r="25">
      <c r="A25" s="7" t="n">
        <v>21</v>
      </c>
      <c r="B25" s="7" t="inlineStr">
        <is>
          <t>Volume</t>
        </is>
      </c>
      <c r="C25" s="7" t="inlineStr">
        <is>
          <t>Policies Issued</t>
        </is>
      </c>
      <c r="D25" s="7" t="inlineStr">
        <is>
          <t>33.48 Cr</t>
        </is>
      </c>
      <c r="E25" s="7" t="inlineStr">
        <is>
          <t>30.43 Cr</t>
        </is>
      </c>
      <c r="F25" s="7" t="inlineStr">
        <is>
          <t>+10%</t>
        </is>
      </c>
      <c r="G25" s="7" t="inlineStr">
        <is>
          <t>8.5%</t>
        </is>
      </c>
      <c r="H25" s="7" t="inlineStr">
        <is>
          <t>Ch 3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2026-01-15T07:38:54Z</dcterms:created>
  <dcterms:modified xsi:type="dcterms:W3CDTF">2026-01-15T07:38:54Z</dcterms:modified>
</cp:coreProperties>
</file>