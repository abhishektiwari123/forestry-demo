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Tool Costs USD" sheetId="2" state="visible" r:id="rId2"/>
    <sheet name="5-Year Model" sheetId="3" state="visible" r:id="rId3"/>
    <sheet name="Low vs High" sheetId="4" state="visible" r:id="rId4"/>
    <sheet name="Year-by-Ye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FF0000"/>
      <sz val="11"/>
    </font>
    <font>
      <b val="1"/>
      <sz val="11"/>
    </font>
    <font>
      <i val="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FFB366"/>
        <bgColor rgb="00FFB3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3" fontId="0" fillId="3" borderId="1" pivotButton="0" quotePrefix="0" xfId="0"/>
    <xf numFmtId="9" fontId="0" fillId="3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3" fillId="4" borderId="0" pivotButton="0" quotePrefix="0" xfId="0"/>
    <xf numFmtId="0" fontId="3" fillId="4" borderId="1" pivotButton="0" quotePrefix="0" xfId="0"/>
    <xf numFmtId="164" fontId="3" fillId="5" borderId="1" pivotButton="0" quotePrefix="0" xfId="0"/>
    <xf numFmtId="164" fontId="0" fillId="3" borderId="1" pivotButton="0" quotePrefix="0" xfId="0"/>
    <xf numFmtId="0" fontId="3" fillId="6" borderId="1" pivotButton="0" quotePrefix="0" xfId="0"/>
    <xf numFmtId="0" fontId="0" fillId="0" borderId="4" pivotButton="0" quotePrefix="0" xfId="0"/>
    <xf numFmtId="0" fontId="0" fillId="6" borderId="1" pivotButton="0" quotePrefix="0" xfId="0"/>
    <xf numFmtId="164" fontId="3" fillId="6" borderId="1" pivotButton="0" quotePrefix="0" xfId="0"/>
    <xf numFmtId="0" fontId="0" fillId="0" borderId="5" pivotButton="0" quotePrefix="0" xfId="0"/>
    <xf numFmtId="164" fontId="0" fillId="0" borderId="1" pivotButton="0" quotePrefix="0" xfId="0"/>
    <xf numFmtId="164" fontId="0" fillId="5" borderId="1" pivotButton="0" quotePrefix="0" xfId="0"/>
    <xf numFmtId="0" fontId="3" fillId="5" borderId="1" pivotButton="0" quotePrefix="0" xfId="0"/>
    <xf numFmtId="4" fontId="3" fillId="6" borderId="1" pivotButton="0" quotePrefix="0" xfId="0"/>
    <xf numFmtId="164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45" customWidth="1" min="4" max="4"/>
  </cols>
  <sheetData>
    <row r="1">
      <c r="A1" s="1" t="inlineStr">
        <is>
          <t>MARTECH 5-YEAR COST MODEL - CONFIGURABLE PARAMETERS</t>
        </is>
      </c>
    </row>
    <row r="2">
      <c r="A2" s="2" t="inlineStr">
        <is>
          <t>⚠️ Change YELLOW cells to update all calculations automatically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4" t="inlineStr">
        <is>
          <t>Number of Contacts/Profiles</t>
        </is>
      </c>
      <c r="B5" s="5" t="n">
        <v>1000000</v>
      </c>
      <c r="C5" s="4" t="inlineStr">
        <is>
          <t>contacts</t>
        </is>
      </c>
      <c r="D5" s="4" t="inlineStr">
        <is>
          <t>Base contact volume (1M default)</t>
        </is>
      </c>
    </row>
    <row r="6">
      <c r="A6" s="4" t="inlineStr">
        <is>
          <t>Contact Growth Rate</t>
        </is>
      </c>
      <c r="B6" s="6" t="n">
        <v>0.15</v>
      </c>
      <c r="C6" s="4" t="inlineStr">
        <is>
          <t>%</t>
        </is>
      </c>
      <c r="D6" s="4" t="inlineStr">
        <is>
          <t>Annual contact growth (15%)</t>
        </is>
      </c>
    </row>
    <row r="7">
      <c r="A7" s="4" t="inlineStr">
        <is>
          <t>Tool Subscription Escalation</t>
        </is>
      </c>
      <c r="B7" s="6" t="n">
        <v>0.05</v>
      </c>
      <c r="C7" s="4" t="inlineStr">
        <is>
          <t>%</t>
        </is>
      </c>
      <c r="D7" s="4" t="inlineStr">
        <is>
          <t>Annual tool cost increase (5%)</t>
        </is>
      </c>
    </row>
    <row r="8">
      <c r="A8" s="4" t="inlineStr">
        <is>
          <t>Data Storage Growth</t>
        </is>
      </c>
      <c r="B8" s="6" t="n">
        <v>0.15</v>
      </c>
      <c r="C8" s="4" t="inlineStr">
        <is>
          <t>%</t>
        </is>
      </c>
      <c r="D8" s="4" t="inlineStr">
        <is>
          <t>Annual data growth (15%)</t>
        </is>
      </c>
    </row>
    <row r="9">
      <c r="A9" s="4" t="inlineStr">
        <is>
          <t>USD to INR Exchange Rate</t>
        </is>
      </c>
      <c r="B9" s="7" t="n">
        <v>83</v>
      </c>
      <c r="C9" s="4" t="inlineStr">
        <is>
          <t>INR</t>
        </is>
      </c>
      <c r="D9" s="4" t="inlineStr">
        <is>
          <t>Current exchange rate</t>
        </is>
      </c>
    </row>
    <row r="10">
      <c r="A10" s="4" t="inlineStr">
        <is>
          <t>Implementation Partner Margin</t>
        </is>
      </c>
      <c r="B10" s="6" t="n">
        <v>0.2</v>
      </c>
      <c r="C10" s="4" t="inlineStr">
        <is>
          <t>%</t>
        </is>
      </c>
      <c r="D10" s="4" t="inlineStr">
        <is>
          <t>SI partner margin on tools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50" customWidth="1" min="1" max="1"/>
    <col width="5" customWidth="1" min="2" max="2"/>
    <col width="18" customWidth="1" min="3" max="3"/>
    <col width="18" customWidth="1" min="4" max="4"/>
  </cols>
  <sheetData>
    <row r="1">
      <c r="A1" s="1" t="inlineStr">
        <is>
          <t>MARTECH STACK - TOOL-WISE COST BREAKDOWN (USD)</t>
        </is>
      </c>
    </row>
    <row r="2">
      <c r="A2" s="8" t="inlineStr">
        <is>
          <t>Based on 1M contacts - scales with Parameters sheet</t>
        </is>
      </c>
    </row>
    <row r="4">
      <c r="A4" s="9" t="inlineStr">
        <is>
          <t>1. CDP (Customer Data Platform)</t>
        </is>
      </c>
    </row>
    <row r="5">
      <c r="A5" s="3" t="inlineStr"/>
      <c r="B5" s="3" t="inlineStr"/>
      <c r="C5" s="3" t="inlineStr">
        <is>
          <t>LOW ($)</t>
        </is>
      </c>
      <c r="D5" s="3" t="inlineStr">
        <is>
          <t>HIGH ($)</t>
        </is>
      </c>
    </row>
    <row r="6">
      <c r="A6" s="10" t="inlineStr">
        <is>
          <t>One time implementation cost</t>
        </is>
      </c>
      <c r="C6" s="11">
        <f>C7</f>
        <v/>
      </c>
      <c r="D6" s="11">
        <f>D7</f>
        <v/>
      </c>
    </row>
    <row r="7">
      <c r="A7" s="4" t="inlineStr">
        <is>
          <t xml:space="preserve">   Ext. resources (Consultant/SI Partner)</t>
        </is>
      </c>
      <c r="C7" s="12" t="n">
        <v>100000</v>
      </c>
      <c r="D7" s="12" t="n">
        <v>250000</v>
      </c>
    </row>
    <row r="8">
      <c r="A8" s="10" t="inlineStr">
        <is>
          <t>Recurring cost per year</t>
        </is>
      </c>
      <c r="C8" s="11">
        <f>SUM(C9:C12)</f>
        <v/>
      </c>
      <c r="D8" s="11">
        <f>SUM(D9:D12)</f>
        <v/>
      </c>
    </row>
    <row r="9">
      <c r="A9" s="4" t="inlineStr">
        <is>
          <t xml:space="preserve">   Annual subscription fee</t>
        </is>
      </c>
      <c r="C9" s="12" t="n">
        <v>100000</v>
      </c>
      <c r="D9" s="12" t="n">
        <v>200000</v>
      </c>
    </row>
    <row r="10">
      <c r="A10" s="4" t="inlineStr">
        <is>
          <t xml:space="preserve">   Recurring data cost</t>
        </is>
      </c>
      <c r="C10" s="12" t="n">
        <v>28800</v>
      </c>
      <c r="D10" s="12" t="n">
        <v>126720</v>
      </c>
    </row>
    <row r="11">
      <c r="A11" s="4" t="inlineStr">
        <is>
          <t xml:space="preserve">   User license fee</t>
        </is>
      </c>
      <c r="C11" s="12" t="n">
        <v>3000</v>
      </c>
      <c r="D11" s="12" t="n">
        <v>6000</v>
      </c>
    </row>
    <row r="12">
      <c r="A12" s="4" t="inlineStr">
        <is>
          <t xml:space="preserve">   Maintenance</t>
        </is>
      </c>
      <c r="C12" s="12" t="n">
        <v>5000</v>
      </c>
      <c r="D12" s="12" t="n">
        <v>15000</v>
      </c>
    </row>
    <row r="14">
      <c r="A14" s="9" t="inlineStr">
        <is>
          <t>2. CMP (Campaign Management Platform)</t>
        </is>
      </c>
    </row>
    <row r="15">
      <c r="A15" s="3" t="inlineStr"/>
      <c r="B15" s="3" t="inlineStr"/>
      <c r="C15" s="3" t="inlineStr">
        <is>
          <t>LOW ($)</t>
        </is>
      </c>
      <c r="D15" s="3" t="inlineStr">
        <is>
          <t>HIGH ($)</t>
        </is>
      </c>
    </row>
    <row r="16">
      <c r="A16" s="10" t="inlineStr">
        <is>
          <t>One time implementation cost</t>
        </is>
      </c>
      <c r="C16" s="11">
        <f>C17</f>
        <v/>
      </c>
      <c r="D16" s="11">
        <f>D17</f>
        <v/>
      </c>
    </row>
    <row r="17">
      <c r="A17" s="4" t="inlineStr">
        <is>
          <t xml:space="preserve">   Ext. resources (Consultant/SI Partner)</t>
        </is>
      </c>
      <c r="C17" s="12" t="n">
        <v>100000</v>
      </c>
      <c r="D17" s="12" t="n">
        <v>350000</v>
      </c>
    </row>
    <row r="18">
      <c r="A18" s="10" t="inlineStr">
        <is>
          <t>Recurring cost per year</t>
        </is>
      </c>
      <c r="C18" s="11">
        <f>SUM(C19:C23)</f>
        <v/>
      </c>
      <c r="D18" s="11">
        <f>SUM(D19:D23)</f>
        <v/>
      </c>
    </row>
    <row r="19">
      <c r="A19" s="4" t="inlineStr">
        <is>
          <t xml:space="preserve">   Annual subscription fee</t>
        </is>
      </c>
      <c r="C19" s="12" t="n">
        <v>150000</v>
      </c>
      <c r="D19" s="12" t="n">
        <v>350000</v>
      </c>
    </row>
    <row r="20">
      <c r="A20" s="4" t="inlineStr">
        <is>
          <t xml:space="preserve">   Recurring data cost</t>
        </is>
      </c>
      <c r="C20" s="12" t="n">
        <v>28800</v>
      </c>
      <c r="D20" s="12" t="n">
        <v>126720</v>
      </c>
    </row>
    <row r="21">
      <c r="A21" s="4" t="inlineStr">
        <is>
          <t xml:space="preserve">   User license fee</t>
        </is>
      </c>
      <c r="C21" s="12" t="n">
        <v>3000</v>
      </c>
      <c r="D21" s="12" t="n">
        <v>6000</v>
      </c>
    </row>
    <row r="22">
      <c r="A22" s="4" t="inlineStr">
        <is>
          <t xml:space="preserve">   Maintenance</t>
        </is>
      </c>
      <c r="C22" s="12" t="n">
        <v>5000</v>
      </c>
      <c r="D22" s="12" t="n">
        <v>15000</v>
      </c>
    </row>
    <row r="23">
      <c r="A23" s="4" t="inlineStr">
        <is>
          <t xml:space="preserve">   Campaign SMS cost</t>
        </is>
      </c>
      <c r="C23" s="12" t="n">
        <v>0</v>
      </c>
      <c r="D23" s="12" t="n">
        <v>1591392</v>
      </c>
    </row>
    <row r="25">
      <c r="A25" s="9" t="inlineStr">
        <is>
          <t>3. CMS (Content Management System)</t>
        </is>
      </c>
    </row>
    <row r="26">
      <c r="A26" s="3" t="inlineStr"/>
      <c r="B26" s="3" t="inlineStr"/>
      <c r="C26" s="3" t="inlineStr">
        <is>
          <t>LOW ($)</t>
        </is>
      </c>
      <c r="D26" s="3" t="inlineStr">
        <is>
          <t>HIGH ($)</t>
        </is>
      </c>
    </row>
    <row r="27">
      <c r="A27" s="10" t="inlineStr">
        <is>
          <t>One time implementation cost</t>
        </is>
      </c>
      <c r="C27" s="11">
        <f>C28</f>
        <v/>
      </c>
      <c r="D27" s="11">
        <f>D28</f>
        <v/>
      </c>
    </row>
    <row r="28">
      <c r="A28" s="4" t="inlineStr">
        <is>
          <t xml:space="preserve">   Ext. resources (Consultant/SI Partner)</t>
        </is>
      </c>
      <c r="C28" s="12" t="n">
        <v>450000</v>
      </c>
      <c r="D28" s="12" t="n">
        <v>800000</v>
      </c>
    </row>
    <row r="29">
      <c r="A29" s="10" t="inlineStr">
        <is>
          <t>Recurring cost per year</t>
        </is>
      </c>
      <c r="C29" s="11">
        <f>SUM(C30:C33)</f>
        <v/>
      </c>
      <c r="D29" s="11">
        <f>SUM(D30:D33)</f>
        <v/>
      </c>
    </row>
    <row r="30">
      <c r="A30" s="4" t="inlineStr">
        <is>
          <t xml:space="preserve">   Annual subscription fee</t>
        </is>
      </c>
      <c r="C30" s="12" t="n">
        <v>225000</v>
      </c>
      <c r="D30" s="12" t="n">
        <v>350000</v>
      </c>
    </row>
    <row r="31">
      <c r="A31" s="4" t="inlineStr">
        <is>
          <t xml:space="preserve">   Recurring data cost</t>
        </is>
      </c>
      <c r="C31" s="12" t="n">
        <v>28800</v>
      </c>
      <c r="D31" s="12" t="n">
        <v>126720</v>
      </c>
    </row>
    <row r="32">
      <c r="A32" s="4" t="inlineStr">
        <is>
          <t xml:space="preserve">   User license fee</t>
        </is>
      </c>
      <c r="C32" s="12" t="n">
        <v>6000</v>
      </c>
      <c r="D32" s="12" t="n">
        <v>12000</v>
      </c>
    </row>
    <row r="33">
      <c r="A33" s="4" t="inlineStr">
        <is>
          <t xml:space="preserve">   Maintenance</t>
        </is>
      </c>
      <c r="C33" s="12" t="n">
        <v>5000</v>
      </c>
      <c r="D33" s="12" t="n">
        <v>15000</v>
      </c>
    </row>
    <row r="35">
      <c r="A35" s="9" t="inlineStr">
        <is>
          <t>4. Experimentation Tool (A/B Testing)</t>
        </is>
      </c>
    </row>
    <row r="36">
      <c r="A36" s="3" t="inlineStr"/>
      <c r="B36" s="3" t="inlineStr"/>
      <c r="C36" s="3" t="inlineStr">
        <is>
          <t>LOW ($)</t>
        </is>
      </c>
      <c r="D36" s="3" t="inlineStr">
        <is>
          <t>HIGH ($)</t>
        </is>
      </c>
    </row>
    <row r="37">
      <c r="A37" s="10" t="inlineStr">
        <is>
          <t>One time implementation cost</t>
        </is>
      </c>
      <c r="C37" s="11">
        <f>C38</f>
        <v/>
      </c>
      <c r="D37" s="11">
        <f>D38</f>
        <v/>
      </c>
    </row>
    <row r="38">
      <c r="A38" s="4" t="inlineStr">
        <is>
          <t xml:space="preserve">   Ext. resources (Consultant/SI Partner)</t>
        </is>
      </c>
      <c r="C38" s="12" t="n">
        <v>50000</v>
      </c>
      <c r="D38" s="12" t="n">
        <v>100000</v>
      </c>
    </row>
    <row r="39">
      <c r="A39" s="10" t="inlineStr">
        <is>
          <t>Recurring cost per year</t>
        </is>
      </c>
      <c r="C39" s="11">
        <f>SUM(C40:C43)</f>
        <v/>
      </c>
      <c r="D39" s="11">
        <f>SUM(D40:D43)</f>
        <v/>
      </c>
    </row>
    <row r="40">
      <c r="A40" s="4" t="inlineStr">
        <is>
          <t xml:space="preserve">   Annual subscription fee</t>
        </is>
      </c>
      <c r="C40" s="12" t="n">
        <v>50000</v>
      </c>
      <c r="D40" s="12" t="n">
        <v>100000</v>
      </c>
    </row>
    <row r="41">
      <c r="A41" s="4" t="inlineStr">
        <is>
          <t xml:space="preserve">   Recurring data cost</t>
        </is>
      </c>
      <c r="C41" s="12" t="n">
        <v>28800</v>
      </c>
      <c r="D41" s="12" t="n">
        <v>126720</v>
      </c>
    </row>
    <row r="42">
      <c r="A42" s="4" t="inlineStr">
        <is>
          <t xml:space="preserve">   User license fee</t>
        </is>
      </c>
      <c r="C42" s="12" t="n">
        <v>3000</v>
      </c>
      <c r="D42" s="12" t="n">
        <v>6000</v>
      </c>
    </row>
    <row r="43">
      <c r="A43" s="4" t="inlineStr">
        <is>
          <t xml:space="preserve">   Maintenance</t>
        </is>
      </c>
      <c r="C43" s="12" t="n">
        <v>5000</v>
      </c>
      <c r="D43" s="12" t="n">
        <v>15000</v>
      </c>
    </row>
    <row r="45">
      <c r="A45" s="9" t="inlineStr">
        <is>
          <t>5. Orchestration Tool (Journey Builder)</t>
        </is>
      </c>
    </row>
    <row r="46">
      <c r="A46" s="3" t="inlineStr"/>
      <c r="B46" s="3" t="inlineStr"/>
      <c r="C46" s="3" t="inlineStr">
        <is>
          <t>LOW ($)</t>
        </is>
      </c>
      <c r="D46" s="3" t="inlineStr">
        <is>
          <t>HIGH ($)</t>
        </is>
      </c>
    </row>
    <row r="47">
      <c r="A47" s="10" t="inlineStr">
        <is>
          <t>One time implementation cost</t>
        </is>
      </c>
      <c r="C47" s="11">
        <f>C48</f>
        <v/>
      </c>
      <c r="D47" s="11">
        <f>D48</f>
        <v/>
      </c>
    </row>
    <row r="48">
      <c r="A48" s="4" t="inlineStr">
        <is>
          <t xml:space="preserve">   Ext. resources (Consultant/SI Partner)</t>
        </is>
      </c>
      <c r="C48" s="12" t="n">
        <v>100000</v>
      </c>
      <c r="D48" s="12" t="n">
        <v>250000</v>
      </c>
    </row>
    <row r="49">
      <c r="A49" s="10" t="inlineStr">
        <is>
          <t>Recurring cost per year</t>
        </is>
      </c>
      <c r="C49" s="11">
        <f>SUM(C50:C53)</f>
        <v/>
      </c>
      <c r="D49" s="11">
        <f>SUM(D50:D53)</f>
        <v/>
      </c>
    </row>
    <row r="50">
      <c r="A50" s="4" t="inlineStr">
        <is>
          <t xml:space="preserve">   Annual subscription fee</t>
        </is>
      </c>
      <c r="C50" s="12" t="n">
        <v>150000</v>
      </c>
      <c r="D50" s="12" t="n">
        <v>300000</v>
      </c>
    </row>
    <row r="51">
      <c r="A51" s="4" t="inlineStr">
        <is>
          <t xml:space="preserve">   Recurring data cost</t>
        </is>
      </c>
      <c r="C51" s="12" t="n">
        <v>28800</v>
      </c>
      <c r="D51" s="12" t="n">
        <v>126720</v>
      </c>
    </row>
    <row r="52">
      <c r="A52" s="4" t="inlineStr">
        <is>
          <t xml:space="preserve">   User license fee</t>
        </is>
      </c>
      <c r="C52" s="12" t="n">
        <v>3000</v>
      </c>
      <c r="D52" s="12" t="n">
        <v>6000</v>
      </c>
    </row>
    <row r="53">
      <c r="A53" s="4" t="inlineStr">
        <is>
          <t xml:space="preserve">   Maintenance</t>
        </is>
      </c>
      <c r="C53" s="12" t="n">
        <v>5000</v>
      </c>
      <c r="D53" s="12" t="n">
        <v>15000</v>
      </c>
    </row>
    <row r="55">
      <c r="A55" s="9" t="inlineStr">
        <is>
          <t>6. Web/App Analytics</t>
        </is>
      </c>
    </row>
    <row r="56">
      <c r="A56" s="3" t="inlineStr"/>
      <c r="B56" s="3" t="inlineStr"/>
      <c r="C56" s="3" t="inlineStr">
        <is>
          <t>LOW ($)</t>
        </is>
      </c>
      <c r="D56" s="3" t="inlineStr">
        <is>
          <t>HIGH ($)</t>
        </is>
      </c>
    </row>
    <row r="57">
      <c r="A57" s="10" t="inlineStr">
        <is>
          <t>One time implementation cost</t>
        </is>
      </c>
      <c r="C57" s="11">
        <f>C58</f>
        <v/>
      </c>
      <c r="D57" s="11">
        <f>D58</f>
        <v/>
      </c>
    </row>
    <row r="58">
      <c r="A58" s="4" t="inlineStr">
        <is>
          <t xml:space="preserve">   Ext. resources (Consultant/SI Partner)</t>
        </is>
      </c>
      <c r="C58" s="12" t="n">
        <v>100000</v>
      </c>
      <c r="D58" s="12" t="n">
        <v>250000</v>
      </c>
    </row>
    <row r="59">
      <c r="A59" s="10" t="inlineStr">
        <is>
          <t>Recurring cost per year</t>
        </is>
      </c>
      <c r="C59" s="11">
        <f>SUM(C60:C63)</f>
        <v/>
      </c>
      <c r="D59" s="11">
        <f>SUM(D60:D63)</f>
        <v/>
      </c>
    </row>
    <row r="60">
      <c r="A60" s="4" t="inlineStr">
        <is>
          <t xml:space="preserve">   Annual subscription fee</t>
        </is>
      </c>
      <c r="C60" s="12" t="n">
        <v>200000</v>
      </c>
      <c r="D60" s="12" t="n">
        <v>400000</v>
      </c>
    </row>
    <row r="61">
      <c r="A61" s="4" t="inlineStr">
        <is>
          <t xml:space="preserve">   Recurring data cost</t>
        </is>
      </c>
      <c r="C61" s="12" t="n">
        <v>0</v>
      </c>
      <c r="D61" s="12" t="n">
        <v>0</v>
      </c>
    </row>
    <row r="62">
      <c r="A62" s="4" t="inlineStr">
        <is>
          <t xml:space="preserve">   User license fee</t>
        </is>
      </c>
      <c r="C62" s="12" t="n">
        <v>3000</v>
      </c>
      <c r="D62" s="12" t="n">
        <v>6000</v>
      </c>
    </row>
    <row r="63">
      <c r="A63" s="4" t="inlineStr">
        <is>
          <t xml:space="preserve">   Maintenance</t>
        </is>
      </c>
      <c r="C63" s="12" t="n">
        <v>5000</v>
      </c>
      <c r="D63" s="12" t="n">
        <v>15000</v>
      </c>
    </row>
    <row r="65">
      <c r="A65" s="9" t="inlineStr">
        <is>
          <t>7. Mobile Measurement Platform (MMP)</t>
        </is>
      </c>
    </row>
    <row r="66">
      <c r="A66" s="3" t="inlineStr"/>
      <c r="B66" s="3" t="inlineStr"/>
      <c r="C66" s="3" t="inlineStr">
        <is>
          <t>LOW ($)</t>
        </is>
      </c>
      <c r="D66" s="3" t="inlineStr">
        <is>
          <t>HIGH ($)</t>
        </is>
      </c>
    </row>
    <row r="67">
      <c r="A67" s="10" t="inlineStr">
        <is>
          <t>One time implementation cost</t>
        </is>
      </c>
      <c r="C67" s="11">
        <f>C68</f>
        <v/>
      </c>
      <c r="D67" s="11">
        <f>D68</f>
        <v/>
      </c>
    </row>
    <row r="68">
      <c r="A68" s="4" t="inlineStr">
        <is>
          <t xml:space="preserve">   Ext. resources (Consultant/SI Partner)</t>
        </is>
      </c>
      <c r="C68" s="12" t="n">
        <v>100000</v>
      </c>
      <c r="D68" s="12" t="n">
        <v>200000</v>
      </c>
    </row>
    <row r="69">
      <c r="A69" s="10" t="inlineStr">
        <is>
          <t>Recurring cost per year</t>
        </is>
      </c>
      <c r="C69" s="11">
        <f>SUM(C70:C73)</f>
        <v/>
      </c>
      <c r="D69" s="11">
        <f>SUM(D70:D73)</f>
        <v/>
      </c>
    </row>
    <row r="70">
      <c r="A70" s="4" t="inlineStr">
        <is>
          <t xml:space="preserve">   Annual subscription fee</t>
        </is>
      </c>
      <c r="C70" s="12" t="n">
        <v>35000</v>
      </c>
      <c r="D70" s="12" t="n">
        <v>100000</v>
      </c>
    </row>
    <row r="71">
      <c r="A71" s="4" t="inlineStr">
        <is>
          <t xml:space="preserve">   Recurring data cost</t>
        </is>
      </c>
      <c r="C71" s="12" t="n">
        <v>7200</v>
      </c>
      <c r="D71" s="12" t="n">
        <v>36000</v>
      </c>
    </row>
    <row r="72">
      <c r="A72" s="4" t="inlineStr">
        <is>
          <t xml:space="preserve">   User license fee</t>
        </is>
      </c>
      <c r="C72" s="12" t="n">
        <v>3000</v>
      </c>
      <c r="D72" s="12" t="n">
        <v>6000</v>
      </c>
    </row>
    <row r="73">
      <c r="A73" s="4" t="inlineStr">
        <is>
          <t xml:space="preserve">   Maintenance</t>
        </is>
      </c>
      <c r="C73" s="12" t="n">
        <v>5000</v>
      </c>
      <c r="D73" s="12" t="n">
        <v>15000</v>
      </c>
    </row>
    <row r="75">
      <c r="A75" s="9" t="inlineStr">
        <is>
          <t>8. Social Management Tool</t>
        </is>
      </c>
    </row>
    <row r="76">
      <c r="A76" s="3" t="inlineStr"/>
      <c r="B76" s="3" t="inlineStr"/>
      <c r="C76" s="3" t="inlineStr">
        <is>
          <t>LOW ($)</t>
        </is>
      </c>
      <c r="D76" s="3" t="inlineStr">
        <is>
          <t>HIGH ($)</t>
        </is>
      </c>
    </row>
    <row r="77">
      <c r="A77" s="10" t="inlineStr">
        <is>
          <t>One time implementation cost</t>
        </is>
      </c>
      <c r="C77" s="11">
        <f>C78</f>
        <v/>
      </c>
      <c r="D77" s="11">
        <f>D78</f>
        <v/>
      </c>
    </row>
    <row r="78">
      <c r="A78" s="4" t="inlineStr">
        <is>
          <t xml:space="preserve">   Ext. resources (Consultant/SI Partner)</t>
        </is>
      </c>
      <c r="C78" s="12" t="n">
        <v>50000</v>
      </c>
      <c r="D78" s="12" t="n">
        <v>150000</v>
      </c>
    </row>
    <row r="79">
      <c r="A79" s="10" t="inlineStr">
        <is>
          <t>Recurring cost per year</t>
        </is>
      </c>
      <c r="C79" s="11">
        <f>SUM(C80:C83)</f>
        <v/>
      </c>
      <c r="D79" s="11">
        <f>SUM(D80:D83)</f>
        <v/>
      </c>
    </row>
    <row r="80">
      <c r="A80" s="4" t="inlineStr">
        <is>
          <t xml:space="preserve">   Annual subscription fee</t>
        </is>
      </c>
      <c r="C80" s="12" t="n">
        <v>50000</v>
      </c>
      <c r="D80" s="12" t="n">
        <v>150000</v>
      </c>
    </row>
    <row r="81">
      <c r="A81" s="4" t="inlineStr">
        <is>
          <t xml:space="preserve">   Recurring data cost</t>
        </is>
      </c>
      <c r="C81" s="12" t="n">
        <v>28800</v>
      </c>
      <c r="D81" s="12" t="n">
        <v>126720</v>
      </c>
    </row>
    <row r="82">
      <c r="A82" s="4" t="inlineStr">
        <is>
          <t xml:space="preserve">   User license fee</t>
        </is>
      </c>
      <c r="C82" s="12" t="n">
        <v>3000</v>
      </c>
      <c r="D82" s="12" t="n">
        <v>6000</v>
      </c>
    </row>
    <row r="83">
      <c r="A83" s="4" t="inlineStr">
        <is>
          <t xml:space="preserve">   Maintenance</t>
        </is>
      </c>
      <c r="C83" s="12" t="n">
        <v>5000</v>
      </c>
      <c r="D83" s="12" t="n">
        <v>15000</v>
      </c>
    </row>
    <row r="85">
      <c r="A85" s="13" t="inlineStr">
        <is>
          <t>Ongoing tech support and maintenance of martech stack</t>
        </is>
      </c>
      <c r="B85" s="14" t="n"/>
      <c r="C85" s="15" t="inlineStr"/>
      <c r="D85" s="16" t="n">
        <v>522000</v>
      </c>
    </row>
  </sheetData>
  <mergeCells count="9">
    <mergeCell ref="A45:D45"/>
    <mergeCell ref="A75:D75"/>
    <mergeCell ref="A35:D35"/>
    <mergeCell ref="A4:D4"/>
    <mergeCell ref="A85:B85"/>
    <mergeCell ref="A55:D55"/>
    <mergeCell ref="A25:D25"/>
    <mergeCell ref="A65:D65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MARTECH 5-YEAR COST MODEL (USD)</t>
        </is>
      </c>
    </row>
    <row r="2">
      <c r="A2" t="inlineStr">
        <is>
          <t>All costs in USD - Convert to INR using Parameters!B9</t>
        </is>
      </c>
    </row>
    <row r="4">
      <c r="A4" s="3" t="inlineStr">
        <is>
          <t>Cost Component</t>
        </is>
      </c>
      <c r="B4" s="3" t="inlineStr">
        <is>
          <t>Base (Y1)</t>
        </is>
      </c>
      <c r="C4" s="3" t="inlineStr">
        <is>
          <t>Y1</t>
        </is>
      </c>
      <c r="D4" s="3" t="inlineStr">
        <is>
          <t>Y2</t>
        </is>
      </c>
      <c r="E4" s="3" t="inlineStr">
        <is>
          <t>Y3</t>
        </is>
      </c>
      <c r="F4" s="3" t="inlineStr">
        <is>
          <t>Y4</t>
        </is>
      </c>
      <c r="G4" s="3" t="inlineStr">
        <is>
          <t>Y5</t>
        </is>
      </c>
      <c r="H4" s="3" t="inlineStr">
        <is>
          <t>5-Year Total</t>
        </is>
      </c>
    </row>
    <row r="6">
      <c r="A6" s="10" t="inlineStr">
        <is>
          <t>SYSTEM TOTALS</t>
        </is>
      </c>
      <c r="B6" s="17" t="n"/>
      <c r="C6" s="17" t="n"/>
      <c r="D6" s="17" t="n"/>
      <c r="E6" s="17" t="n"/>
      <c r="F6" s="17" t="n"/>
      <c r="G6" s="17" t="n"/>
      <c r="H6" s="14" t="n"/>
    </row>
    <row r="7">
      <c r="A7" s="10" t="inlineStr">
        <is>
          <t>One time implementation cost</t>
        </is>
      </c>
      <c r="C7" s="11">
        <f>C8</f>
        <v/>
      </c>
      <c r="D7" s="11">
        <f>D8</f>
        <v/>
      </c>
      <c r="E7" s="11">
        <f>E8</f>
        <v/>
      </c>
      <c r="F7" s="11">
        <f>F8</f>
        <v/>
      </c>
      <c r="G7" s="11">
        <f>G8</f>
        <v/>
      </c>
      <c r="H7" s="11">
        <f>H8</f>
        <v/>
      </c>
    </row>
    <row r="8">
      <c r="A8" s="4" t="inlineStr">
        <is>
          <t xml:space="preserve">   Ext. resources (Consultant/SI Partner)</t>
        </is>
      </c>
      <c r="B8" s="12" t="n">
        <v>850000</v>
      </c>
      <c r="C8" s="18">
        <f>B8</f>
        <v/>
      </c>
      <c r="D8" s="18" t="n">
        <v>0</v>
      </c>
      <c r="E8" s="18" t="n">
        <v>0</v>
      </c>
      <c r="F8" s="18" t="n">
        <v>0</v>
      </c>
      <c r="G8" s="18" t="n">
        <v>0</v>
      </c>
      <c r="H8" s="19">
        <f>SUM(C8:G8)</f>
        <v/>
      </c>
    </row>
    <row r="10">
      <c r="A10" s="10" t="inlineStr">
        <is>
          <t>Recurring cost per year</t>
        </is>
      </c>
      <c r="C10" s="11">
        <f>SUM(C11:C14)</f>
        <v/>
      </c>
      <c r="D10" s="11">
        <f>SUM(D11:D14)</f>
        <v/>
      </c>
      <c r="E10" s="11">
        <f>SUM(E11:E14)</f>
        <v/>
      </c>
      <c r="F10" s="11">
        <f>SUM(F11:F14)</f>
        <v/>
      </c>
      <c r="G10" s="11">
        <f>SUM(G11:G14)</f>
        <v/>
      </c>
      <c r="H10" s="11">
        <f>SUM(H11:H14)</f>
        <v/>
      </c>
    </row>
    <row r="11">
      <c r="A11" s="4" t="inlineStr">
        <is>
          <t xml:space="preserve">   Annual subscription fee (all tools)</t>
        </is>
      </c>
      <c r="B11" s="12" t="n">
        <v>960000</v>
      </c>
      <c r="C11" s="18">
        <f>B11</f>
        <v/>
      </c>
      <c r="D11" s="18">
        <f>C11*(1+Parameters!$B$7)</f>
        <v/>
      </c>
      <c r="E11" s="18">
        <f>D11*(1+Parameters!$B$7)</f>
        <v/>
      </c>
      <c r="F11" s="18">
        <f>E11*(1+Parameters!$B$7)</f>
        <v/>
      </c>
      <c r="G11" s="18">
        <f>F11*(1+Parameters!$B$7)</f>
        <v/>
      </c>
      <c r="H11" s="19">
        <f>SUM(C11:G11)</f>
        <v/>
      </c>
    </row>
    <row r="12">
      <c r="A12" s="4" t="inlineStr">
        <is>
          <t xml:space="preserve">   Recurring data cost</t>
        </is>
      </c>
      <c r="B12" s="12" t="n">
        <v>151200</v>
      </c>
      <c r="C12" s="18">
        <f>B12</f>
        <v/>
      </c>
      <c r="D12" s="18">
        <f>C12*(1+Parameters!$B$7)</f>
        <v/>
      </c>
      <c r="E12" s="18">
        <f>D12*(1+Parameters!$B$7)</f>
        <v/>
      </c>
      <c r="F12" s="18">
        <f>E12*(1+Parameters!$B$7)</f>
        <v/>
      </c>
      <c r="G12" s="18">
        <f>F12*(1+Parameters!$B$7)</f>
        <v/>
      </c>
      <c r="H12" s="19">
        <f>SUM(C12:G12)</f>
        <v/>
      </c>
    </row>
    <row r="13">
      <c r="A13" s="4" t="inlineStr">
        <is>
          <t xml:space="preserve">   User license fee</t>
        </is>
      </c>
      <c r="B13" s="12" t="n">
        <v>27000</v>
      </c>
      <c r="C13" s="18">
        <f>B13</f>
        <v/>
      </c>
      <c r="D13" s="18">
        <f>C13*(1+Parameters!$B$7)</f>
        <v/>
      </c>
      <c r="E13" s="18">
        <f>D13*(1+Parameters!$B$7)</f>
        <v/>
      </c>
      <c r="F13" s="18">
        <f>E13*(1+Parameters!$B$7)</f>
        <v/>
      </c>
      <c r="G13" s="18">
        <f>F13*(1+Parameters!$B$7)</f>
        <v/>
      </c>
      <c r="H13" s="19">
        <f>SUM(C13:G13)</f>
        <v/>
      </c>
    </row>
    <row r="14">
      <c r="A14" s="4" t="inlineStr">
        <is>
          <t xml:space="preserve">   Maintenance</t>
        </is>
      </c>
      <c r="B14" s="12" t="n">
        <v>45000</v>
      </c>
      <c r="C14" s="18">
        <f>B14</f>
        <v/>
      </c>
      <c r="D14" s="18">
        <f>C14*(1+Parameters!$B$7)</f>
        <v/>
      </c>
      <c r="E14" s="18">
        <f>D14*(1+Parameters!$B$7)</f>
        <v/>
      </c>
      <c r="F14" s="18">
        <f>E14*(1+Parameters!$B$7)</f>
        <v/>
      </c>
      <c r="G14" s="18">
        <f>F14*(1+Parameters!$B$7)</f>
        <v/>
      </c>
      <c r="H14" s="19">
        <f>SUM(C14:G14)</f>
        <v/>
      </c>
    </row>
    <row r="17">
      <c r="A17" s="20" t="inlineStr">
        <is>
          <t>GRAND TOTAL (USD)</t>
        </is>
      </c>
      <c r="C17" s="11">
        <f>C7+C10</f>
        <v/>
      </c>
      <c r="D17" s="11">
        <f>D7+D10</f>
        <v/>
      </c>
      <c r="E17" s="11">
        <f>E7+E10</f>
        <v/>
      </c>
      <c r="F17" s="11">
        <f>F7+F10</f>
        <v/>
      </c>
      <c r="G17" s="11">
        <f>G7+G10</f>
        <v/>
      </c>
      <c r="H17" s="11">
        <f>H7+H10</f>
        <v/>
      </c>
    </row>
    <row r="18">
      <c r="A18" s="13" t="inlineStr">
        <is>
          <t>GRAND TOTAL (INR Lakhs)</t>
        </is>
      </c>
      <c r="C18" s="21">
        <f>(C17*Parameters!$B$9)/100000</f>
        <v/>
      </c>
      <c r="D18" s="21">
        <f>(D17*Parameters!$B$9)/100000</f>
        <v/>
      </c>
      <c r="E18" s="21">
        <f>(E17*Parameters!$B$9)/100000</f>
        <v/>
      </c>
      <c r="F18" s="21">
        <f>(F17*Parameters!$B$9)/100000</f>
        <v/>
      </c>
      <c r="G18" s="21">
        <f>(G17*Parameters!$B$9)/100000</f>
        <v/>
      </c>
      <c r="H18" s="21">
        <f>(H17*Parameters!$B$9)/100000</f>
        <v/>
      </c>
    </row>
    <row r="19">
      <c r="A19" s="13" t="inlineStr">
        <is>
          <t>GRAND TOTAL (INR Cr)</t>
        </is>
      </c>
      <c r="C19" s="21">
        <f>(C17*Parameters!$B$9)/10000000</f>
        <v/>
      </c>
      <c r="D19" s="21">
        <f>(D17*Parameters!$B$9)/10000000</f>
        <v/>
      </c>
      <c r="E19" s="21">
        <f>(E17*Parameters!$B$9)/10000000</f>
        <v/>
      </c>
      <c r="F19" s="21">
        <f>(F17*Parameters!$B$9)/10000000</f>
        <v/>
      </c>
      <c r="G19" s="21">
        <f>(G17*Parameters!$B$9)/10000000</f>
        <v/>
      </c>
      <c r="H19" s="21">
        <f>(H17*Parameters!$B$9)/10000000</f>
        <v/>
      </c>
    </row>
  </sheetData>
  <mergeCells count="1"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40" customWidth="1" min="1" max="1"/>
    <col width="5" customWidth="1" min="2" max="2"/>
    <col width="18" customWidth="1" min="3" max="3"/>
    <col width="18" customWidth="1" min="4" max="4"/>
  </cols>
  <sheetData>
    <row r="1">
      <c r="A1" s="1" t="inlineStr">
        <is>
          <t>MARTECH COST COMPARISON - LOW vs HIGH (USD)</t>
        </is>
      </c>
    </row>
    <row r="3">
      <c r="A3" s="3" t="inlineStr">
        <is>
          <t>Cost Component</t>
        </is>
      </c>
      <c r="B3" s="3" t="inlineStr"/>
      <c r="C3" s="3" t="inlineStr">
        <is>
          <t>LOW</t>
        </is>
      </c>
      <c r="D3" s="3" t="inlineStr">
        <is>
          <t>HIGH</t>
        </is>
      </c>
    </row>
    <row r="5">
      <c r="A5" s="10" t="inlineStr">
        <is>
          <t>1. CDP</t>
        </is>
      </c>
      <c r="B5" s="17" t="n"/>
      <c r="C5" s="17" t="n"/>
      <c r="D5" s="14" t="n"/>
    </row>
    <row r="6">
      <c r="A6" s="4" t="inlineStr">
        <is>
          <t xml:space="preserve">   One time implementation</t>
        </is>
      </c>
      <c r="C6" s="12" t="n">
        <v>100000</v>
      </c>
      <c r="D6" s="12" t="n">
        <v>250000</v>
      </c>
    </row>
    <row r="7">
      <c r="A7" s="4" t="inlineStr">
        <is>
          <t xml:space="preserve">   Recurring cost per year</t>
        </is>
      </c>
      <c r="C7" s="12" t="n">
        <v>136800</v>
      </c>
      <c r="D7" s="12" t="n">
        <v>347720</v>
      </c>
    </row>
    <row r="9">
      <c r="A9" s="10" t="inlineStr">
        <is>
          <t>2. CMP</t>
        </is>
      </c>
      <c r="B9" s="17" t="n"/>
      <c r="C9" s="17" t="n"/>
      <c r="D9" s="14" t="n"/>
    </row>
    <row r="10">
      <c r="A10" s="4" t="inlineStr">
        <is>
          <t xml:space="preserve">   One time implementation</t>
        </is>
      </c>
      <c r="C10" s="12" t="n">
        <v>100000</v>
      </c>
      <c r="D10" s="12" t="n">
        <v>350000</v>
      </c>
    </row>
    <row r="11">
      <c r="A11" s="4" t="inlineStr">
        <is>
          <t xml:space="preserve">   Recurring cost per year</t>
        </is>
      </c>
      <c r="C11" s="12" t="n">
        <v>186800</v>
      </c>
      <c r="D11" s="12" t="n">
        <v>497720</v>
      </c>
    </row>
    <row r="13">
      <c r="A13" s="10" t="inlineStr">
        <is>
          <t>3. CMS</t>
        </is>
      </c>
      <c r="B13" s="17" t="n"/>
      <c r="C13" s="17" t="n"/>
      <c r="D13" s="14" t="n"/>
    </row>
    <row r="14">
      <c r="A14" s="4" t="inlineStr">
        <is>
          <t xml:space="preserve">   One time implementation</t>
        </is>
      </c>
      <c r="C14" s="12" t="n">
        <v>450000</v>
      </c>
      <c r="D14" s="12" t="n">
        <v>800000</v>
      </c>
    </row>
    <row r="15">
      <c r="A15" s="4" t="inlineStr">
        <is>
          <t xml:space="preserve">   Recurring cost per year</t>
        </is>
      </c>
      <c r="C15" s="12" t="n">
        <v>264800</v>
      </c>
      <c r="D15" s="12" t="n">
        <v>503720</v>
      </c>
    </row>
    <row r="17">
      <c r="A17" s="10" t="inlineStr">
        <is>
          <t>4. Experimentation Tool</t>
        </is>
      </c>
      <c r="B17" s="17" t="n"/>
      <c r="C17" s="17" t="n"/>
      <c r="D17" s="14" t="n"/>
    </row>
    <row r="18">
      <c r="A18" s="4" t="inlineStr">
        <is>
          <t xml:space="preserve">   One time implementation</t>
        </is>
      </c>
      <c r="C18" s="12" t="n">
        <v>50000</v>
      </c>
      <c r="D18" s="12" t="n">
        <v>100000</v>
      </c>
    </row>
    <row r="19">
      <c r="A19" s="4" t="inlineStr">
        <is>
          <t xml:space="preserve">   Recurring cost per year</t>
        </is>
      </c>
      <c r="C19" s="12" t="n">
        <v>86800</v>
      </c>
      <c r="D19" s="12" t="n">
        <v>247720</v>
      </c>
    </row>
    <row r="21">
      <c r="A21" s="10" t="inlineStr">
        <is>
          <t>5. Orchestration Tool</t>
        </is>
      </c>
      <c r="B21" s="17" t="n"/>
      <c r="C21" s="17" t="n"/>
      <c r="D21" s="14" t="n"/>
    </row>
    <row r="22">
      <c r="A22" s="4" t="inlineStr">
        <is>
          <t xml:space="preserve">   One time implementation</t>
        </is>
      </c>
      <c r="C22" s="12" t="n">
        <v>100000</v>
      </c>
      <c r="D22" s="12" t="n">
        <v>250000</v>
      </c>
    </row>
    <row r="23">
      <c r="A23" s="4" t="inlineStr">
        <is>
          <t xml:space="preserve">   Recurring cost per year</t>
        </is>
      </c>
      <c r="C23" s="12" t="n">
        <v>186800</v>
      </c>
      <c r="D23" s="12" t="n">
        <v>447720</v>
      </c>
    </row>
    <row r="25">
      <c r="A25" s="10" t="inlineStr">
        <is>
          <t>6. Web/App Analytics</t>
        </is>
      </c>
      <c r="B25" s="17" t="n"/>
      <c r="C25" s="17" t="n"/>
      <c r="D25" s="14" t="n"/>
    </row>
    <row r="26">
      <c r="A26" s="4" t="inlineStr">
        <is>
          <t xml:space="preserve">   One time implementation</t>
        </is>
      </c>
      <c r="C26" s="12" t="n">
        <v>100000</v>
      </c>
      <c r="D26" s="12" t="n">
        <v>250000</v>
      </c>
    </row>
    <row r="27">
      <c r="A27" s="4" t="inlineStr">
        <is>
          <t xml:space="preserve">   Recurring cost per year</t>
        </is>
      </c>
      <c r="C27" s="12" t="n">
        <v>208000</v>
      </c>
      <c r="D27" s="12" t="n">
        <v>421000</v>
      </c>
    </row>
    <row r="29">
      <c r="A29" s="10" t="inlineStr">
        <is>
          <t>7. MMP</t>
        </is>
      </c>
      <c r="B29" s="17" t="n"/>
      <c r="C29" s="17" t="n"/>
      <c r="D29" s="14" t="n"/>
    </row>
    <row r="30">
      <c r="A30" s="4" t="inlineStr">
        <is>
          <t xml:space="preserve">   One time implementation</t>
        </is>
      </c>
      <c r="C30" s="12" t="n">
        <v>100000</v>
      </c>
      <c r="D30" s="12" t="n">
        <v>200000</v>
      </c>
    </row>
    <row r="31">
      <c r="A31" s="4" t="inlineStr">
        <is>
          <t xml:space="preserve">   Recurring cost per year</t>
        </is>
      </c>
      <c r="C31" s="12" t="n">
        <v>50200</v>
      </c>
      <c r="D31" s="12" t="n">
        <v>157000</v>
      </c>
    </row>
    <row r="33">
      <c r="A33" s="10" t="inlineStr">
        <is>
          <t>8. Social Management Tool</t>
        </is>
      </c>
      <c r="B33" s="17" t="n"/>
      <c r="C33" s="17" t="n"/>
      <c r="D33" s="14" t="n"/>
    </row>
    <row r="34">
      <c r="A34" s="4" t="inlineStr">
        <is>
          <t xml:space="preserve">   One time implementation</t>
        </is>
      </c>
      <c r="C34" s="12" t="n">
        <v>50000</v>
      </c>
      <c r="D34" s="12" t="n">
        <v>150000</v>
      </c>
    </row>
    <row r="35">
      <c r="A35" s="4" t="inlineStr">
        <is>
          <t xml:space="preserve">   Recurring cost per year</t>
        </is>
      </c>
      <c r="C35" s="12" t="n">
        <v>86800</v>
      </c>
      <c r="D35" s="12" t="n">
        <v>297720</v>
      </c>
    </row>
    <row r="37">
      <c r="A37" s="20" t="inlineStr">
        <is>
          <t>TOTAL ONE-TIME IMPLEMENTATION</t>
        </is>
      </c>
      <c r="C37" s="11">
        <f>1050000</f>
        <v/>
      </c>
      <c r="D37" s="11">
        <f>2350000</f>
        <v/>
      </c>
    </row>
    <row r="38">
      <c r="A38" s="20" t="inlineStr">
        <is>
          <t>TOTAL RECURRING (per year)</t>
        </is>
      </c>
      <c r="C38" s="11">
        <f>1207000</f>
        <v/>
      </c>
      <c r="D38" s="11">
        <f>2920320</f>
        <v/>
      </c>
    </row>
    <row r="39">
      <c r="A39" s="13" t="inlineStr">
        <is>
          <t>Ongoing Tech Support (annual)</t>
        </is>
      </c>
      <c r="C39" s="22" t="n">
        <v>0</v>
      </c>
      <c r="D39" s="22" t="n">
        <v>522000</v>
      </c>
    </row>
    <row r="41">
      <c r="A41" s="10" t="inlineStr">
        <is>
          <t>5-YEAR TCO CALCULATION</t>
        </is>
      </c>
      <c r="B41" s="17" t="n"/>
      <c r="C41" s="17" t="n"/>
      <c r="D41" s="14" t="n"/>
    </row>
    <row r="42">
      <c r="A42" s="4" t="inlineStr">
        <is>
          <t>Implementation (Y1 only)</t>
        </is>
      </c>
      <c r="C42" s="18" t="n">
        <v>1050000</v>
      </c>
      <c r="D42" s="18" t="n">
        <v>2350000</v>
      </c>
    </row>
    <row r="43">
      <c r="A43" s="4" t="inlineStr">
        <is>
          <t>Recurring x 5 years</t>
        </is>
      </c>
      <c r="C43" s="18">
        <f>1207000*5</f>
        <v/>
      </c>
      <c r="D43" s="18">
        <f>2920320*5</f>
        <v/>
      </c>
    </row>
    <row r="44">
      <c r="A44" s="4" t="inlineStr">
        <is>
          <t>Tech Support x 5 years</t>
        </is>
      </c>
      <c r="C44" s="18" t="n">
        <v>0</v>
      </c>
      <c r="D44" s="18">
        <f>522000*5</f>
        <v/>
      </c>
    </row>
    <row r="45">
      <c r="A45" s="20" t="inlineStr">
        <is>
          <t>5-YEAR TCO (USD)</t>
        </is>
      </c>
      <c r="C45" s="11">
        <f>C42+C43+C44</f>
        <v/>
      </c>
      <c r="D45" s="11">
        <f>D42+D43+D44</f>
        <v/>
      </c>
    </row>
    <row r="46">
      <c r="A46" s="13" t="inlineStr">
        <is>
          <t>5-YEAR TCO (INR Lakhs)</t>
        </is>
      </c>
      <c r="C46" s="21">
        <f>(C45*Parameters!$B$9)/100000</f>
        <v/>
      </c>
      <c r="D46" s="21">
        <f>(D45*Parameters!$B$9)/100000</f>
        <v/>
      </c>
    </row>
    <row r="47">
      <c r="A47" s="13" t="inlineStr">
        <is>
          <t>5-YEAR TCO (INR Cr)</t>
        </is>
      </c>
      <c r="C47" s="21">
        <f>(C45*Parameters!$B$9)/10000000</f>
        <v/>
      </c>
      <c r="D47" s="21">
        <f>(D45*Parameters!$B$9)/10000000</f>
        <v/>
      </c>
    </row>
  </sheetData>
  <mergeCells count="9">
    <mergeCell ref="A5:D5"/>
    <mergeCell ref="A17:D17"/>
    <mergeCell ref="A9:D9"/>
    <mergeCell ref="A21:D21"/>
    <mergeCell ref="A29:D29"/>
    <mergeCell ref="A25:D25"/>
    <mergeCell ref="A41:D41"/>
    <mergeCell ref="A33:D33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5-YEAR DETAILED BREAKDOWN (USD)</t>
        </is>
      </c>
    </row>
    <row r="3">
      <c r="A3" s="3" t="inlineStr">
        <is>
          <t>Component</t>
        </is>
      </c>
      <c r="B3" s="3" t="inlineStr">
        <is>
          <t>Y1</t>
        </is>
      </c>
      <c r="C3" s="3" t="inlineStr">
        <is>
          <t>Y2</t>
        </is>
      </c>
      <c r="D3" s="3" t="inlineStr">
        <is>
          <t>Y3</t>
        </is>
      </c>
      <c r="E3" s="3" t="inlineStr">
        <is>
          <t>Y4</t>
        </is>
      </c>
      <c r="F3" s="3" t="inlineStr">
        <is>
          <t>Y5</t>
        </is>
      </c>
      <c r="G3" s="3" t="inlineStr">
        <is>
          <t>5-Year Total</t>
        </is>
      </c>
    </row>
    <row r="5">
      <c r="A5" s="10" t="inlineStr">
        <is>
          <t>LOW MODEL</t>
        </is>
      </c>
      <c r="B5" s="17" t="n"/>
      <c r="C5" s="17" t="n"/>
      <c r="D5" s="17" t="n"/>
      <c r="E5" s="17" t="n"/>
      <c r="F5" s="17" t="n"/>
      <c r="G5" s="14" t="n"/>
    </row>
    <row r="6">
      <c r="A6" s="4" t="inlineStr">
        <is>
          <t>Implementation</t>
        </is>
      </c>
      <c r="B6" s="12" t="n">
        <v>1050000</v>
      </c>
      <c r="C6" s="18" t="n">
        <v>0</v>
      </c>
      <c r="D6" s="18" t="n">
        <v>0</v>
      </c>
      <c r="E6" s="18" t="n">
        <v>0</v>
      </c>
      <c r="F6" s="18" t="n">
        <v>0</v>
      </c>
      <c r="G6" s="19">
        <f>SUM(B6:F6)</f>
        <v/>
      </c>
    </row>
    <row r="7">
      <c r="A7" s="4" t="inlineStr">
        <is>
          <t>Recurring (base)</t>
        </is>
      </c>
      <c r="B7" s="12" t="n">
        <v>1207000</v>
      </c>
      <c r="C7" s="18">
        <f>B7*(1+Parameters!$B$7)</f>
        <v/>
      </c>
      <c r="D7" s="18">
        <f>C7*(1+Parameters!$B$7)</f>
        <v/>
      </c>
      <c r="E7" s="18">
        <f>D7*(1+Parameters!$B$7)</f>
        <v/>
      </c>
      <c r="F7" s="18">
        <f>E7*(1+Parameters!$B$7)</f>
        <v/>
      </c>
      <c r="G7" s="19">
        <f>SUM(B7:F7)</f>
        <v/>
      </c>
    </row>
    <row r="8">
      <c r="A8" s="20" t="inlineStr">
        <is>
          <t>TOTAL LOW (USD)</t>
        </is>
      </c>
      <c r="B8" s="11">
        <f>B6+B7</f>
        <v/>
      </c>
      <c r="C8" s="11">
        <f>C6+C7</f>
        <v/>
      </c>
      <c r="D8" s="11">
        <f>D6+D7</f>
        <v/>
      </c>
      <c r="E8" s="11">
        <f>E6+E7</f>
        <v/>
      </c>
      <c r="F8" s="11">
        <f>F6+F7</f>
        <v/>
      </c>
      <c r="G8" s="11">
        <f>G6+G7</f>
        <v/>
      </c>
    </row>
    <row r="9">
      <c r="A9" s="13" t="inlineStr">
        <is>
          <t>TOTAL LOW (INR Lakhs)</t>
        </is>
      </c>
      <c r="B9" s="21">
        <f>(B8*Parameters!$B$9)/100000</f>
        <v/>
      </c>
      <c r="C9" s="21">
        <f>(C8*Parameters!$B$9)/100000</f>
        <v/>
      </c>
      <c r="D9" s="21">
        <f>(D8*Parameters!$B$9)/100000</f>
        <v/>
      </c>
      <c r="E9" s="21">
        <f>(E8*Parameters!$B$9)/100000</f>
        <v/>
      </c>
      <c r="F9" s="21">
        <f>(F8*Parameters!$B$9)/100000</f>
        <v/>
      </c>
      <c r="G9" s="21">
        <f>(G8*Parameters!$B$9)/100000</f>
        <v/>
      </c>
    </row>
    <row r="11">
      <c r="A11" s="10" t="inlineStr">
        <is>
          <t>HIGH MODEL</t>
        </is>
      </c>
      <c r="B11" s="17" t="n"/>
      <c r="C11" s="17" t="n"/>
      <c r="D11" s="17" t="n"/>
      <c r="E11" s="17" t="n"/>
      <c r="F11" s="17" t="n"/>
      <c r="G11" s="14" t="n"/>
    </row>
    <row r="12">
      <c r="A12" s="4" t="inlineStr">
        <is>
          <t>Implementation</t>
        </is>
      </c>
      <c r="B12" s="12" t="n">
        <v>2350000</v>
      </c>
      <c r="C12" s="18" t="n">
        <v>0</v>
      </c>
      <c r="D12" s="18" t="n">
        <v>0</v>
      </c>
      <c r="E12" s="18" t="n">
        <v>0</v>
      </c>
      <c r="F12" s="18" t="n">
        <v>0</v>
      </c>
      <c r="G12" s="19">
        <f>SUM(B12:F12)</f>
        <v/>
      </c>
    </row>
    <row r="13">
      <c r="A13" s="4" t="inlineStr">
        <is>
          <t>Recurring (base)</t>
        </is>
      </c>
      <c r="B13" s="12" t="n">
        <v>2920320</v>
      </c>
      <c r="C13" s="18">
        <f>B13*(1+Parameters!$B$7)</f>
        <v/>
      </c>
      <c r="D13" s="18">
        <f>C13*(1+Parameters!$B$7)</f>
        <v/>
      </c>
      <c r="E13" s="18">
        <f>D13*(1+Parameters!$B$7)</f>
        <v/>
      </c>
      <c r="F13" s="18">
        <f>E13*(1+Parameters!$B$7)</f>
        <v/>
      </c>
      <c r="G13" s="19">
        <f>SUM(B13:F13)</f>
        <v/>
      </c>
    </row>
    <row r="14">
      <c r="A14" s="4" t="inlineStr">
        <is>
          <t>Tech Support</t>
        </is>
      </c>
      <c r="B14" s="12" t="n">
        <v>522000</v>
      </c>
      <c r="C14" s="18">
        <f>B14*(1+Parameters!$B$7)</f>
        <v/>
      </c>
      <c r="D14" s="18">
        <f>C14*(1+Parameters!$B$7)</f>
        <v/>
      </c>
      <c r="E14" s="18">
        <f>D14*(1+Parameters!$B$7)</f>
        <v/>
      </c>
      <c r="F14" s="18">
        <f>E14*(1+Parameters!$B$7)</f>
        <v/>
      </c>
      <c r="G14" s="19">
        <f>SUM(B14:F14)</f>
        <v/>
      </c>
    </row>
    <row r="15">
      <c r="A15" s="20" t="inlineStr">
        <is>
          <t>TOTAL HIGH (USD)</t>
        </is>
      </c>
      <c r="B15" s="11">
        <f>B12+B13+B14</f>
        <v/>
      </c>
      <c r="C15" s="11">
        <f>C12+C13+C14</f>
        <v/>
      </c>
      <c r="D15" s="11">
        <f>D12+D13+D14</f>
        <v/>
      </c>
      <c r="E15" s="11">
        <f>E12+E13+E14</f>
        <v/>
      </c>
      <c r="F15" s="11">
        <f>F12+F13+F14</f>
        <v/>
      </c>
      <c r="G15" s="11">
        <f>G12+G13+G14</f>
        <v/>
      </c>
    </row>
    <row r="16">
      <c r="A16" s="13" t="inlineStr">
        <is>
          <t>TOTAL HIGH (INR Lakhs)</t>
        </is>
      </c>
      <c r="B16" s="21">
        <f>(B15*Parameters!$B$9)/100000</f>
        <v/>
      </c>
      <c r="C16" s="21">
        <f>(C15*Parameters!$B$9)/100000</f>
        <v/>
      </c>
      <c r="D16" s="21">
        <f>(D15*Parameters!$B$9)/100000</f>
        <v/>
      </c>
      <c r="E16" s="21">
        <f>(E15*Parameters!$B$9)/100000</f>
        <v/>
      </c>
      <c r="F16" s="21">
        <f>(F15*Parameters!$B$9)/100000</f>
        <v/>
      </c>
      <c r="G16" s="21">
        <f>(G15*Parameters!$B$9)/100000</f>
        <v/>
      </c>
    </row>
    <row r="17">
      <c r="A17" s="13" t="inlineStr">
        <is>
          <t>TOTAL HIGH (INR Cr)</t>
        </is>
      </c>
      <c r="B17" s="21">
        <f>(B15*Parameters!$B$9)/10000000</f>
        <v/>
      </c>
      <c r="C17" s="21">
        <f>(C15*Parameters!$B$9)/10000000</f>
        <v/>
      </c>
      <c r="D17" s="21">
        <f>(D15*Parameters!$B$9)/10000000</f>
        <v/>
      </c>
      <c r="E17" s="21">
        <f>(E15*Parameters!$B$9)/10000000</f>
        <v/>
      </c>
      <c r="F17" s="21">
        <f>(F15*Parameters!$B$9)/10000000</f>
        <v/>
      </c>
      <c r="G17" s="21">
        <f>(G15*Parameters!$B$9)/10000000</f>
        <v/>
      </c>
    </row>
  </sheetData>
  <mergeCells count="2">
    <mergeCell ref="A11:G1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2026-01-08T15:26:54Z</dcterms:created>
  <dcterms:modified xsi:type="dcterms:W3CDTF">2026-01-08T15:26:54Z</dcterms:modified>
</cp:coreProperties>
</file>