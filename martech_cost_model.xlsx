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LOW Model" sheetId="2" state="visible" r:id="rId2"/>
    <sheet name="MID Model" sheetId="3" state="visible" r:id="rId3"/>
    <sheet name="HIGH Model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FF0000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FB366"/>
        <bgColor rgb="00FFB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9" fontId="0" fillId="3" borderId="1" pivotButton="0" quotePrefix="0" xfId="0"/>
    <xf numFmtId="0" fontId="3" fillId="4" borderId="0" pivotButton="0" quotePrefix="0" xfId="0"/>
    <xf numFmtId="3" fontId="0" fillId="3" borderId="1" pivotButton="0" quotePrefix="0" xfId="0"/>
    <xf numFmtId="0" fontId="3" fillId="0" borderId="1" pivotButton="0" quotePrefix="0" xfId="0"/>
    <xf numFmtId="3" fontId="3" fillId="5" borderId="1" pivotButton="0" quotePrefix="0" xfId="0"/>
    <xf numFmtId="3" fontId="0" fillId="0" borderId="1" pivotButton="0" quotePrefix="0" xfId="0"/>
    <xf numFmtId="3" fontId="0" fillId="5" borderId="1" pivotButton="0" quotePrefix="0" xfId="0"/>
    <xf numFmtId="4" fontId="3" fillId="6" borderId="1" pivotButton="0" quotePrefix="0" xfId="0"/>
    <xf numFmtId="3" fontId="0" fillId="6" borderId="1" pivotButton="0" quotePrefix="0" xfId="0"/>
    <xf numFmtId="3" fontId="3" fillId="6" borderId="1" pivotButton="0" quotePrefix="0" xfId="0"/>
    <xf numFmtId="4" fontId="3" fillId="5" borderId="1" pivotButton="0" quotePrefix="0" xfId="0"/>
    <xf numFmtId="0" fontId="3" fillId="6" borderId="0" pivotButton="0" quotePrefix="0" xfId="0"/>
    <xf numFmtId="4" fontId="0" fillId="5" borderId="1" pivotButton="0" quotePrefix="0" xfId="0"/>
    <xf numFmtId="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8" customWidth="1" min="3" max="3"/>
    <col width="40" customWidth="1" min="4" max="4"/>
  </cols>
  <sheetData>
    <row r="1">
      <c r="A1" s="1" t="inlineStr">
        <is>
          <t>MARTECH 5-YEAR COST MODEL - INPUT PARAMETERS</t>
        </is>
      </c>
    </row>
    <row r="2">
      <c r="A2" s="2" t="inlineStr">
        <is>
          <t>⚠️ Change YELLOW cells to update all calculations automatically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4" t="inlineStr">
        <is>
          <t>Tool Subscription Escalation</t>
        </is>
      </c>
      <c r="B5" s="5" t="n">
        <v>0.05</v>
      </c>
      <c r="C5" s="4" t="inlineStr">
        <is>
          <t>%</t>
        </is>
      </c>
      <c r="D5" s="4" t="inlineStr">
        <is>
          <t>Annual increase in tool costs (5%)</t>
        </is>
      </c>
    </row>
    <row r="6">
      <c r="A6" s="4" t="inlineStr">
        <is>
          <t>Data Storage Growth</t>
        </is>
      </c>
      <c r="B6" s="5" t="n">
        <v>0.15</v>
      </c>
      <c r="C6" s="4" t="inlineStr">
        <is>
          <t>%</t>
        </is>
      </c>
      <c r="D6" s="4" t="inlineStr">
        <is>
          <t>Annual increase due to data volume (15%)</t>
        </is>
      </c>
    </row>
    <row r="7">
      <c r="A7" s="4" t="inlineStr">
        <is>
          <t>MMP Cost Growth</t>
        </is>
      </c>
      <c r="B7" s="5" t="n">
        <v>0.15</v>
      </c>
      <c r="C7" s="4" t="inlineStr">
        <is>
          <t>%</t>
        </is>
      </c>
      <c r="D7" s="4" t="inlineStr">
        <is>
          <t>Usage-based annual increase (15%)</t>
        </is>
      </c>
    </row>
    <row r="8">
      <c r="A8" s="4" t="inlineStr">
        <is>
          <t>Team Salary Increment</t>
        </is>
      </c>
      <c r="B8" s="5" t="n">
        <v>0.1</v>
      </c>
      <c r="C8" s="4" t="inlineStr">
        <is>
          <t>%</t>
        </is>
      </c>
      <c r="D8" s="4" t="inlineStr">
        <is>
          <t>Annual salary hike (10%)</t>
        </is>
      </c>
    </row>
    <row r="9">
      <c r="A9" s="4" t="inlineStr">
        <is>
          <t>Maintenance Escalation</t>
        </is>
      </c>
      <c r="B9" s="5" t="n">
        <v>0.05</v>
      </c>
      <c r="C9" s="4" t="inlineStr">
        <is>
          <t>%</t>
        </is>
      </c>
      <c r="D9" s="4" t="inlineStr">
        <is>
          <t>Annual maintenance cost increase (5%)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LOW COST MODEL - 5 YEAR PROJECTION</t>
        </is>
      </c>
    </row>
    <row r="3">
      <c r="A3" s="6" t="inlineStr">
        <is>
          <t>IMPLEMENTATION COSTS (ONE-TIME)</t>
        </is>
      </c>
    </row>
    <row r="4">
      <c r="A4" s="3" t="inlineStr">
        <is>
          <t>Cost Component</t>
        </is>
      </c>
      <c r="B4" s="3" t="inlineStr">
        <is>
          <t>Amount (₹)</t>
        </is>
      </c>
      <c r="C4" s="3" t="inlineStr"/>
      <c r="D4" s="3" t="inlineStr"/>
      <c r="E4" s="3" t="inlineStr"/>
      <c r="F4" s="3" t="inlineStr"/>
      <c r="G4" s="3" t="inlineStr"/>
      <c r="H4" s="3" t="inlineStr">
        <is>
          <t>Notes</t>
        </is>
      </c>
    </row>
    <row r="5">
      <c r="A5" s="4" t="inlineStr">
        <is>
          <t>Int. resources</t>
        </is>
      </c>
      <c r="B5" s="7" t="n">
        <v>250000</v>
      </c>
      <c r="H5" s="4" t="inlineStr">
        <is>
          <t>Internal team setup</t>
        </is>
      </c>
    </row>
    <row r="6">
      <c r="A6" s="4" t="inlineStr">
        <is>
          <t>Ext. resources (SI Partner)</t>
        </is>
      </c>
      <c r="B6" s="7" t="n">
        <v>1000000</v>
      </c>
      <c r="H6" s="4" t="inlineStr">
        <is>
          <t>Consultant/Implementation</t>
        </is>
      </c>
    </row>
    <row r="7">
      <c r="A7" s="8" t="inlineStr">
        <is>
          <t>IMPLEMENTATION TOTAL</t>
        </is>
      </c>
      <c r="B7" s="9">
        <f>B5+B6</f>
        <v/>
      </c>
    </row>
    <row r="9">
      <c r="A9" s="6" t="inlineStr">
        <is>
          <t>TOOL COSTS (RECURRING)</t>
        </is>
      </c>
    </row>
    <row r="10">
      <c r="A10" s="3" t="inlineStr">
        <is>
          <t>Cost Component</t>
        </is>
      </c>
      <c r="B10" s="3" t="inlineStr">
        <is>
          <t>Base (Y1)</t>
        </is>
      </c>
      <c r="C10" s="3" t="inlineStr">
        <is>
          <t>Y1</t>
        </is>
      </c>
      <c r="D10" s="3" t="inlineStr">
        <is>
          <t>Y2</t>
        </is>
      </c>
      <c r="E10" s="3" t="inlineStr">
        <is>
          <t>Y3</t>
        </is>
      </c>
      <c r="F10" s="3" t="inlineStr">
        <is>
          <t>Y4</t>
        </is>
      </c>
      <c r="G10" s="3" t="inlineStr">
        <is>
          <t>Y5</t>
        </is>
      </c>
      <c r="H10" s="3" t="inlineStr">
        <is>
          <t>5-Year Total</t>
        </is>
      </c>
    </row>
    <row r="11">
      <c r="A11" s="4" t="inlineStr">
        <is>
          <t>CDP + CMP Subscription</t>
        </is>
      </c>
      <c r="B11" s="7" t="n">
        <v>350000</v>
      </c>
      <c r="C11" s="10">
        <f>B11</f>
        <v/>
      </c>
      <c r="D11" s="10">
        <f>C11*(1+Parameters!$B$5)</f>
        <v/>
      </c>
      <c r="E11" s="10">
        <f>D11*(1+Parameters!$B$5)</f>
        <v/>
      </c>
      <c r="F11" s="10">
        <f>E11*(1+Parameters!$B$5)</f>
        <v/>
      </c>
      <c r="G11" s="10">
        <f>F11*(1+Parameters!$B$5)</f>
        <v/>
      </c>
      <c r="H11" s="11">
        <f>SUM(C11:G11)</f>
        <v/>
      </c>
    </row>
    <row r="12">
      <c r="A12" s="4" t="inlineStr">
        <is>
          <t>Data Lake / Storage</t>
        </is>
      </c>
      <c r="B12" s="7" t="n">
        <v>60000</v>
      </c>
      <c r="C12" s="10">
        <f>B12</f>
        <v/>
      </c>
      <c r="D12" s="10">
        <f>C12*(1+Parameters!$B$6)</f>
        <v/>
      </c>
      <c r="E12" s="10">
        <f>D12*(1+Parameters!$B$6)</f>
        <v/>
      </c>
      <c r="F12" s="10">
        <f>E12*(1+Parameters!$B$6)</f>
        <v/>
      </c>
      <c r="G12" s="10">
        <f>F12*(1+Parameters!$B$6)</f>
        <v/>
      </c>
      <c r="H12" s="11">
        <f>SUM(C12:G12)</f>
        <v/>
      </c>
    </row>
    <row r="13">
      <c r="A13" s="4" t="inlineStr">
        <is>
          <t>Analytics + BI License</t>
        </is>
      </c>
      <c r="B13" s="7" t="n">
        <v>100000</v>
      </c>
      <c r="C13" s="10">
        <f>B13</f>
        <v/>
      </c>
      <c r="D13" s="10">
        <f>C13*(1+Parameters!$B$5)</f>
        <v/>
      </c>
      <c r="E13" s="10">
        <f>D13*(1+Parameters!$B$5)</f>
        <v/>
      </c>
      <c r="F13" s="10">
        <f>E13*(1+Parameters!$B$5)</f>
        <v/>
      </c>
      <c r="G13" s="10">
        <f>F13*(1+Parameters!$B$5)</f>
        <v/>
      </c>
      <c r="H13" s="11">
        <f>SUM(C13:G13)</f>
        <v/>
      </c>
    </row>
    <row r="14">
      <c r="A14" s="4" t="inlineStr">
        <is>
          <t>CMS Hosting</t>
        </is>
      </c>
      <c r="B14" s="7" t="n">
        <v>30000</v>
      </c>
      <c r="C14" s="10">
        <f>B14</f>
        <v/>
      </c>
      <c r="D14" s="10">
        <f>C14*(1+Parameters!$B$5)</f>
        <v/>
      </c>
      <c r="E14" s="10">
        <f>D14*(1+Parameters!$B$5)</f>
        <v/>
      </c>
      <c r="F14" s="10">
        <f>E14*(1+Parameters!$B$5)</f>
        <v/>
      </c>
      <c r="G14" s="10">
        <f>F14*(1+Parameters!$B$5)</f>
        <v/>
      </c>
      <c r="H14" s="11">
        <f>SUM(C14:G14)</f>
        <v/>
      </c>
    </row>
    <row r="15">
      <c r="A15" s="4" t="inlineStr">
        <is>
          <t>MMP (Free tier)</t>
        </is>
      </c>
      <c r="B15" s="7" t="n">
        <v>30000</v>
      </c>
      <c r="C15" s="10">
        <f>B15</f>
        <v/>
      </c>
      <c r="D15" s="10">
        <f>B15</f>
        <v/>
      </c>
      <c r="E15" s="10">
        <f>B15</f>
        <v/>
      </c>
      <c r="F15" s="10">
        <f>B15</f>
        <v/>
      </c>
      <c r="G15" s="10">
        <f>B15</f>
        <v/>
      </c>
      <c r="H15" s="11">
        <f>SUM(C15:G15)</f>
        <v/>
      </c>
    </row>
    <row r="16">
      <c r="A16" s="4" t="inlineStr">
        <is>
          <t>Maintenance &amp; Support</t>
        </is>
      </c>
      <c r="B16" s="7" t="n">
        <v>50000</v>
      </c>
      <c r="C16" s="10">
        <f>B16</f>
        <v/>
      </c>
      <c r="D16" s="10">
        <f>C16*(1+Parameters!$B$9)</f>
        <v/>
      </c>
      <c r="E16" s="10">
        <f>D16*(1+Parameters!$B$9)</f>
        <v/>
      </c>
      <c r="F16" s="10">
        <f>E16*(1+Parameters!$B$9)</f>
        <v/>
      </c>
      <c r="G16" s="10">
        <f>F16*(1+Parameters!$B$9)</f>
        <v/>
      </c>
      <c r="H16" s="11">
        <f>SUM(C16:G16)</f>
        <v/>
      </c>
    </row>
    <row r="17">
      <c r="A17" s="8" t="inlineStr">
        <is>
          <t>TOOLS TOTAL</t>
        </is>
      </c>
      <c r="C17" s="9">
        <f>SUM(C11:C16)</f>
        <v/>
      </c>
      <c r="D17" s="9">
        <f>SUM(D11:D16)</f>
        <v/>
      </c>
      <c r="E17" s="9">
        <f>SUM(E11:E16)</f>
        <v/>
      </c>
      <c r="F17" s="9">
        <f>SUM(F11:F16)</f>
        <v/>
      </c>
      <c r="G17" s="9">
        <f>SUM(G11:G16)</f>
        <v/>
      </c>
      <c r="H17" s="9">
        <f>SUM(H11:H16)</f>
        <v/>
      </c>
    </row>
    <row r="19">
      <c r="A19" s="6" t="inlineStr">
        <is>
          <t>TEAM COSTS</t>
        </is>
      </c>
    </row>
    <row r="20">
      <c r="A20" s="3" t="inlineStr">
        <is>
          <t>Role</t>
        </is>
      </c>
      <c r="B20" s="3" t="inlineStr">
        <is>
          <t>Base CTC (Y1)</t>
        </is>
      </c>
      <c r="C20" s="3" t="inlineStr">
        <is>
          <t>Y1</t>
        </is>
      </c>
      <c r="D20" s="3" t="inlineStr">
        <is>
          <t>Y2</t>
        </is>
      </c>
      <c r="E20" s="3" t="inlineStr">
        <is>
          <t>Y3</t>
        </is>
      </c>
      <c r="F20" s="3" t="inlineStr">
        <is>
          <t>Y4</t>
        </is>
      </c>
      <c r="G20" s="3" t="inlineStr">
        <is>
          <t>Y5</t>
        </is>
      </c>
      <c r="H20" s="3" t="inlineStr">
        <is>
          <t>5-Year Total</t>
        </is>
      </c>
    </row>
    <row r="21">
      <c r="A21" s="4" t="inlineStr">
        <is>
          <t>Martech Lead (1)</t>
        </is>
      </c>
      <c r="B21" s="7" t="n">
        <v>1800000</v>
      </c>
      <c r="C21" s="10">
        <f>B21</f>
        <v/>
      </c>
      <c r="D21" s="10">
        <f>C21*(1+Parameters!$B$8)</f>
        <v/>
      </c>
      <c r="E21" s="10">
        <f>D21*(1+Parameters!$B$8)</f>
        <v/>
      </c>
      <c r="F21" s="10">
        <f>E21*(1+Parameters!$B$8)</f>
        <v/>
      </c>
      <c r="G21" s="10">
        <f>F21*(1+Parameters!$B$8)</f>
        <v/>
      </c>
      <c r="H21" s="11">
        <f>SUM(C21:G21)</f>
        <v/>
      </c>
    </row>
    <row r="22">
      <c r="A22" s="4" t="inlineStr">
        <is>
          <t>Automation Specialist (1)</t>
        </is>
      </c>
      <c r="B22" s="7" t="n">
        <v>800000</v>
      </c>
      <c r="C22" s="10">
        <f>B22</f>
        <v/>
      </c>
      <c r="D22" s="10">
        <f>C22*(1+Parameters!$B$8)</f>
        <v/>
      </c>
      <c r="E22" s="10">
        <f>D22*(1+Parameters!$B$8)</f>
        <v/>
      </c>
      <c r="F22" s="10">
        <f>E22*(1+Parameters!$B$8)</f>
        <v/>
      </c>
      <c r="G22" s="10">
        <f>F22*(1+Parameters!$B$8)</f>
        <v/>
      </c>
      <c r="H22" s="11">
        <f>SUM(C22:G22)</f>
        <v/>
      </c>
    </row>
    <row r="23">
      <c r="A23" s="4" t="inlineStr">
        <is>
          <t>Junior Analyst (1)</t>
        </is>
      </c>
      <c r="B23" s="7" t="n">
        <v>500000</v>
      </c>
      <c r="C23" s="10">
        <f>B23</f>
        <v/>
      </c>
      <c r="D23" s="10">
        <f>C23*(1+Parameters!$B$8)</f>
        <v/>
      </c>
      <c r="E23" s="10">
        <f>D23*(1+Parameters!$B$8)</f>
        <v/>
      </c>
      <c r="F23" s="10">
        <f>E23*(1+Parameters!$B$8)</f>
        <v/>
      </c>
      <c r="G23" s="10">
        <f>F23*(1+Parameters!$B$8)</f>
        <v/>
      </c>
      <c r="H23" s="11">
        <f>SUM(C23:G23)</f>
        <v/>
      </c>
    </row>
    <row r="24">
      <c r="A24" s="8" t="inlineStr">
        <is>
          <t>TEAM TOTAL (3 members)</t>
        </is>
      </c>
      <c r="C24" s="9">
        <f>SUM(C21:C23)</f>
        <v/>
      </c>
      <c r="D24" s="9">
        <f>SUM(D21:D23)</f>
        <v/>
      </c>
      <c r="E24" s="9">
        <f>SUM(E21:E23)</f>
        <v/>
      </c>
      <c r="F24" s="9">
        <f>SUM(F21:F23)</f>
        <v/>
      </c>
      <c r="G24" s="9">
        <f>SUM(G21:G23)</f>
        <v/>
      </c>
      <c r="H24" s="9">
        <f>SUM(H21:H23)</f>
        <v/>
      </c>
    </row>
    <row r="26">
      <c r="A26" s="6" t="inlineStr">
        <is>
          <t>YEAR TOTALS</t>
        </is>
      </c>
    </row>
    <row r="27">
      <c r="A27" s="3" t="inlineStr">
        <is>
          <t>Component</t>
        </is>
      </c>
      <c r="B27" s="3" t="inlineStr">
        <is>
          <t>Y1</t>
        </is>
      </c>
      <c r="C27" s="3" t="inlineStr">
        <is>
          <t>Y2</t>
        </is>
      </c>
      <c r="D27" s="3" t="inlineStr">
        <is>
          <t>Y3</t>
        </is>
      </c>
      <c r="E27" s="3" t="inlineStr">
        <is>
          <t>Y4</t>
        </is>
      </c>
      <c r="F27" s="3" t="inlineStr">
        <is>
          <t>Y5</t>
        </is>
      </c>
      <c r="G27" s="3" t="inlineStr">
        <is>
          <t>5-Year Total</t>
        </is>
      </c>
    </row>
    <row r="28">
      <c r="A28" s="4" t="inlineStr">
        <is>
          <t>Implementation</t>
        </is>
      </c>
      <c r="B28" s="10">
        <f>B7</f>
        <v/>
      </c>
      <c r="C28" s="10" t="n">
        <v>0</v>
      </c>
      <c r="D28" s="10" t="n">
        <v>0</v>
      </c>
      <c r="E28" s="10" t="n">
        <v>0</v>
      </c>
      <c r="F28" s="10" t="n">
        <v>0</v>
      </c>
      <c r="G28" s="11">
        <f>SUM(B28:F28)</f>
        <v/>
      </c>
    </row>
    <row r="29">
      <c r="A29" s="4" t="inlineStr">
        <is>
          <t>Tools</t>
        </is>
      </c>
      <c r="B29" s="10">
        <f>C17</f>
        <v/>
      </c>
      <c r="C29" s="10">
        <f>D17</f>
        <v/>
      </c>
      <c r="D29" s="10">
        <f>E17</f>
        <v/>
      </c>
      <c r="E29" s="10">
        <f>F17</f>
        <v/>
      </c>
      <c r="F29" s="10">
        <f>G17</f>
        <v/>
      </c>
      <c r="G29" s="11">
        <f>H17</f>
        <v/>
      </c>
    </row>
    <row r="30">
      <c r="A30" s="4" t="inlineStr">
        <is>
          <t>Team</t>
        </is>
      </c>
      <c r="B30" s="10">
        <f>C24</f>
        <v/>
      </c>
      <c r="C30" s="10">
        <f>D24</f>
        <v/>
      </c>
      <c r="D30" s="10">
        <f>E24</f>
        <v/>
      </c>
      <c r="E30" s="10">
        <f>F24</f>
        <v/>
      </c>
      <c r="F30" s="10">
        <f>G24</f>
        <v/>
      </c>
      <c r="G30" s="11">
        <f>H24</f>
        <v/>
      </c>
    </row>
    <row r="31">
      <c r="A31" s="8" t="inlineStr">
        <is>
          <t>YEAR TOTAL (₹)</t>
        </is>
      </c>
      <c r="B31" s="9">
        <f>SUM(B28:B30)</f>
        <v/>
      </c>
      <c r="C31" s="9">
        <f>SUM(C28:C30)</f>
        <v/>
      </c>
      <c r="D31" s="9">
        <f>SUM(D28:D30)</f>
        <v/>
      </c>
      <c r="E31" s="9">
        <f>SUM(E28:E30)</f>
        <v/>
      </c>
      <c r="F31" s="9">
        <f>SUM(F28:F30)</f>
        <v/>
      </c>
      <c r="G31" s="9">
        <f>SUM(G28:G30)</f>
        <v/>
      </c>
    </row>
    <row r="32">
      <c r="A32" s="8" t="inlineStr">
        <is>
          <t>YEAR TOTAL (Lakhs)</t>
        </is>
      </c>
      <c r="B32" s="12">
        <f>B31/100000</f>
        <v/>
      </c>
      <c r="C32" s="12">
        <f>C31/100000</f>
        <v/>
      </c>
      <c r="D32" s="12">
        <f>D31/100000</f>
        <v/>
      </c>
      <c r="E32" s="12">
        <f>E31/100000</f>
        <v/>
      </c>
      <c r="F32" s="12">
        <f>F31/100000</f>
        <v/>
      </c>
      <c r="G32" s="12">
        <f>G31/100000</f>
        <v/>
      </c>
    </row>
  </sheetData>
  <mergeCells count="4">
    <mergeCell ref="A9:H9"/>
    <mergeCell ref="A26:H26"/>
    <mergeCell ref="A3:H3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MID COST MODEL - 5 YEAR PROJECTION</t>
        </is>
      </c>
    </row>
    <row r="3">
      <c r="A3" s="6" t="inlineStr">
        <is>
          <t>IMPLEMENTATION COSTS (ONE-TIME)</t>
        </is>
      </c>
    </row>
    <row r="4">
      <c r="A4" s="3" t="inlineStr">
        <is>
          <t>Cost Component</t>
        </is>
      </c>
      <c r="B4" s="3" t="inlineStr">
        <is>
          <t>Amount (₹)</t>
        </is>
      </c>
      <c r="C4" s="3" t="inlineStr"/>
      <c r="D4" s="3" t="inlineStr"/>
      <c r="E4" s="3" t="inlineStr"/>
      <c r="F4" s="3" t="inlineStr"/>
      <c r="G4" s="3" t="inlineStr"/>
      <c r="H4" s="3" t="inlineStr">
        <is>
          <t>Notes</t>
        </is>
      </c>
    </row>
    <row r="5">
      <c r="A5" s="4" t="inlineStr">
        <is>
          <t>Int. resources</t>
        </is>
      </c>
      <c r="B5" s="7" t="n">
        <v>500000</v>
      </c>
      <c r="H5" s="4" t="inlineStr">
        <is>
          <t>Internal team setup</t>
        </is>
      </c>
    </row>
    <row r="6">
      <c r="A6" s="4" t="inlineStr">
        <is>
          <t>Ext. resources (SI Partner)</t>
        </is>
      </c>
      <c r="B6" s="7" t="n">
        <v>2300000</v>
      </c>
      <c r="H6" s="4" t="inlineStr">
        <is>
          <t>Consultant/Implementation</t>
        </is>
      </c>
    </row>
    <row r="7">
      <c r="A7" s="8" t="inlineStr">
        <is>
          <t>IMPLEMENTATION TOTAL</t>
        </is>
      </c>
      <c r="B7" s="9">
        <f>B5+B6</f>
        <v/>
      </c>
    </row>
    <row r="9">
      <c r="A9" s="6" t="inlineStr">
        <is>
          <t>TOOL COSTS (RECURRING)</t>
        </is>
      </c>
    </row>
    <row r="10">
      <c r="A10" s="3" t="inlineStr">
        <is>
          <t>Cost Component</t>
        </is>
      </c>
      <c r="B10" s="3" t="inlineStr">
        <is>
          <t>Base (Y1)</t>
        </is>
      </c>
      <c r="C10" s="3" t="inlineStr">
        <is>
          <t>Y1</t>
        </is>
      </c>
      <c r="D10" s="3" t="inlineStr">
        <is>
          <t>Y2</t>
        </is>
      </c>
      <c r="E10" s="3" t="inlineStr">
        <is>
          <t>Y3</t>
        </is>
      </c>
      <c r="F10" s="3" t="inlineStr">
        <is>
          <t>Y4</t>
        </is>
      </c>
      <c r="G10" s="3" t="inlineStr">
        <is>
          <t>Y5</t>
        </is>
      </c>
      <c r="H10" s="3" t="inlineStr">
        <is>
          <t>5-Year Total</t>
        </is>
      </c>
    </row>
    <row r="11">
      <c r="A11" s="4" t="inlineStr">
        <is>
          <t>CDP + CMP Subscription</t>
        </is>
      </c>
      <c r="B11" s="7" t="n">
        <v>900000</v>
      </c>
      <c r="C11" s="10">
        <f>B11</f>
        <v/>
      </c>
      <c r="D11" s="10">
        <f>C11*(1+Parameters!$B$5)</f>
        <v/>
      </c>
      <c r="E11" s="10">
        <f>D11*(1+Parameters!$B$5)</f>
        <v/>
      </c>
      <c r="F11" s="10">
        <f>E11*(1+Parameters!$B$5)</f>
        <v/>
      </c>
      <c r="G11" s="10">
        <f>F11*(1+Parameters!$B$5)</f>
        <v/>
      </c>
      <c r="H11" s="11">
        <f>SUM(C11:G11)</f>
        <v/>
      </c>
    </row>
    <row r="12">
      <c r="A12" s="4" t="inlineStr">
        <is>
          <t>Data Lake / Storage</t>
        </is>
      </c>
      <c r="B12" s="7" t="n">
        <v>120000</v>
      </c>
      <c r="C12" s="10">
        <f>B12</f>
        <v/>
      </c>
      <c r="D12" s="10">
        <f>C12*(1+Parameters!$B$6)</f>
        <v/>
      </c>
      <c r="E12" s="10">
        <f>D12*(1+Parameters!$B$6)</f>
        <v/>
      </c>
      <c r="F12" s="10">
        <f>E12*(1+Parameters!$B$6)</f>
        <v/>
      </c>
      <c r="G12" s="10">
        <f>F12*(1+Parameters!$B$6)</f>
        <v/>
      </c>
      <c r="H12" s="11">
        <f>SUM(C12:G12)</f>
        <v/>
      </c>
    </row>
    <row r="13">
      <c r="A13" s="4" t="inlineStr">
        <is>
          <t>Analytics + BI License</t>
        </is>
      </c>
      <c r="B13" s="7" t="n">
        <v>180000</v>
      </c>
      <c r="C13" s="10">
        <f>B13</f>
        <v/>
      </c>
      <c r="D13" s="10">
        <f>C13*(1+Parameters!$B$5)</f>
        <v/>
      </c>
      <c r="E13" s="10">
        <f>D13*(1+Parameters!$B$5)</f>
        <v/>
      </c>
      <c r="F13" s="10">
        <f>E13*(1+Parameters!$B$5)</f>
        <v/>
      </c>
      <c r="G13" s="10">
        <f>F13*(1+Parameters!$B$5)</f>
        <v/>
      </c>
      <c r="H13" s="11">
        <f>SUM(C13:G13)</f>
        <v/>
      </c>
    </row>
    <row r="14">
      <c r="A14" s="4" t="inlineStr">
        <is>
          <t>CMS Hosting</t>
        </is>
      </c>
      <c r="B14" s="7" t="n">
        <v>75000</v>
      </c>
      <c r="C14" s="10">
        <f>B14</f>
        <v/>
      </c>
      <c r="D14" s="10">
        <f>C14*(1+Parameters!$B$5)</f>
        <v/>
      </c>
      <c r="E14" s="10">
        <f>D14*(1+Parameters!$B$5)</f>
        <v/>
      </c>
      <c r="F14" s="10">
        <f>E14*(1+Parameters!$B$5)</f>
        <v/>
      </c>
      <c r="G14" s="10">
        <f>F14*(1+Parameters!$B$5)</f>
        <v/>
      </c>
      <c r="H14" s="11">
        <f>SUM(C14:G14)</f>
        <v/>
      </c>
    </row>
    <row r="15">
      <c r="A15" s="4" t="inlineStr">
        <is>
          <t>MMP (Usage-based)</t>
        </is>
      </c>
      <c r="B15" s="7" t="n">
        <v>170000</v>
      </c>
      <c r="C15" s="10">
        <f>B15</f>
        <v/>
      </c>
      <c r="D15" s="10">
        <f>C15*(1+Parameters!$B$7)</f>
        <v/>
      </c>
      <c r="E15" s="10">
        <f>D15*(1+Parameters!$B$7)</f>
        <v/>
      </c>
      <c r="F15" s="10">
        <f>E15*(1+Parameters!$B$7)</f>
        <v/>
      </c>
      <c r="G15" s="10">
        <f>F15*(1+Parameters!$B$7)</f>
        <v/>
      </c>
      <c r="H15" s="11">
        <f>SUM(C15:G15)</f>
        <v/>
      </c>
    </row>
    <row r="16">
      <c r="A16" s="4" t="inlineStr">
        <is>
          <t>Maintenance &amp; Support</t>
        </is>
      </c>
      <c r="B16" s="7" t="n">
        <v>100000</v>
      </c>
      <c r="C16" s="10">
        <f>B16</f>
        <v/>
      </c>
      <c r="D16" s="10">
        <f>C16*(1+Parameters!$B$9)</f>
        <v/>
      </c>
      <c r="E16" s="10">
        <f>D16*(1+Parameters!$B$9)</f>
        <v/>
      </c>
      <c r="F16" s="10">
        <f>E16*(1+Parameters!$B$9)</f>
        <v/>
      </c>
      <c r="G16" s="10">
        <f>F16*(1+Parameters!$B$9)</f>
        <v/>
      </c>
      <c r="H16" s="11">
        <f>SUM(C16:G16)</f>
        <v/>
      </c>
    </row>
    <row r="17">
      <c r="A17" s="8" t="inlineStr">
        <is>
          <t>TOOLS TOTAL</t>
        </is>
      </c>
      <c r="C17" s="9">
        <f>SUM(C11:C16)</f>
        <v/>
      </c>
      <c r="D17" s="9">
        <f>SUM(D11:D16)</f>
        <v/>
      </c>
      <c r="E17" s="9">
        <f>SUM(E11:E16)</f>
        <v/>
      </c>
      <c r="F17" s="9">
        <f>SUM(F11:F16)</f>
        <v/>
      </c>
      <c r="G17" s="9">
        <f>SUM(G11:G16)</f>
        <v/>
      </c>
      <c r="H17" s="9">
        <f>SUM(H11:H16)</f>
        <v/>
      </c>
    </row>
    <row r="19">
      <c r="A19" s="6" t="inlineStr">
        <is>
          <t>TEAM COSTS (Head of Martech is OPTIONAL)</t>
        </is>
      </c>
    </row>
    <row r="20">
      <c r="A20" s="3" t="inlineStr">
        <is>
          <t>Role</t>
        </is>
      </c>
      <c r="B20" s="3" t="inlineStr">
        <is>
          <t>Base CTC (Y1)</t>
        </is>
      </c>
      <c r="C20" s="3" t="inlineStr">
        <is>
          <t>Y1</t>
        </is>
      </c>
      <c r="D20" s="3" t="inlineStr">
        <is>
          <t>Y2</t>
        </is>
      </c>
      <c r="E20" s="3" t="inlineStr">
        <is>
          <t>Y3</t>
        </is>
      </c>
      <c r="F20" s="3" t="inlineStr">
        <is>
          <t>Y4</t>
        </is>
      </c>
      <c r="G20" s="3" t="inlineStr">
        <is>
          <t>Y5</t>
        </is>
      </c>
      <c r="H20" s="3" t="inlineStr">
        <is>
          <t>5-Year Total</t>
        </is>
      </c>
    </row>
    <row r="21">
      <c r="A21" s="4" t="inlineStr">
        <is>
          <t>Head of Martech (OPTIONAL)</t>
        </is>
      </c>
      <c r="B21" s="13" t="n">
        <v>2500000</v>
      </c>
      <c r="C21" s="10">
        <f>B21</f>
        <v/>
      </c>
      <c r="D21" s="10">
        <f>C21*(1+Parameters!$B$8)</f>
        <v/>
      </c>
      <c r="E21" s="10">
        <f>D21*(1+Parameters!$B$8)</f>
        <v/>
      </c>
      <c r="F21" s="10">
        <f>E21*(1+Parameters!$B$8)</f>
        <v/>
      </c>
      <c r="G21" s="10">
        <f>F21*(1+Parameters!$B$8)</f>
        <v/>
      </c>
      <c r="H21" s="11">
        <f>SUM(C21:G21)</f>
        <v/>
      </c>
    </row>
    <row r="22">
      <c r="A22" s="4" t="inlineStr">
        <is>
          <t>Automation Lead (1)</t>
        </is>
      </c>
      <c r="B22" s="7" t="n">
        <v>1400000</v>
      </c>
      <c r="C22" s="10">
        <f>B22</f>
        <v/>
      </c>
      <c r="D22" s="10">
        <f>C22*(1+Parameters!$B$8)</f>
        <v/>
      </c>
      <c r="E22" s="10">
        <f>D22*(1+Parameters!$B$8)</f>
        <v/>
      </c>
      <c r="F22" s="10">
        <f>E22*(1+Parameters!$B$8)</f>
        <v/>
      </c>
      <c r="G22" s="10">
        <f>F22*(1+Parameters!$B$8)</f>
        <v/>
      </c>
      <c r="H22" s="11">
        <f>SUM(C22:G22)</f>
        <v/>
      </c>
    </row>
    <row r="23">
      <c r="A23" s="4" t="inlineStr">
        <is>
          <t>CDP/Data Analyst (1)</t>
        </is>
      </c>
      <c r="B23" s="7" t="n">
        <v>1000000</v>
      </c>
      <c r="C23" s="10">
        <f>B23</f>
        <v/>
      </c>
      <c r="D23" s="10">
        <f>C23*(1+Parameters!$B$8)</f>
        <v/>
      </c>
      <c r="E23" s="10">
        <f>D23*(1+Parameters!$B$8)</f>
        <v/>
      </c>
      <c r="F23" s="10">
        <f>E23*(1+Parameters!$B$8)</f>
        <v/>
      </c>
      <c r="G23" s="10">
        <f>F23*(1+Parameters!$B$8)</f>
        <v/>
      </c>
      <c r="H23" s="11">
        <f>SUM(C23:G23)</f>
        <v/>
      </c>
    </row>
    <row r="24">
      <c r="A24" s="4" t="inlineStr">
        <is>
          <t>Content Specialist (1)</t>
        </is>
      </c>
      <c r="B24" s="7" t="n">
        <v>600000</v>
      </c>
      <c r="C24" s="10">
        <f>B24</f>
        <v/>
      </c>
      <c r="D24" s="10">
        <f>C24*(1+Parameters!$B$8)</f>
        <v/>
      </c>
      <c r="E24" s="10">
        <f>D24*(1+Parameters!$B$8)</f>
        <v/>
      </c>
      <c r="F24" s="10">
        <f>E24*(1+Parameters!$B$8)</f>
        <v/>
      </c>
      <c r="G24" s="10">
        <f>F24*(1+Parameters!$B$8)</f>
        <v/>
      </c>
      <c r="H24" s="11">
        <f>SUM(C24:G24)</f>
        <v/>
      </c>
    </row>
    <row r="25">
      <c r="A25" s="4" t="inlineStr">
        <is>
          <t>Junior Executive (1)</t>
        </is>
      </c>
      <c r="B25" s="7" t="n">
        <v>400000</v>
      </c>
      <c r="C25" s="10">
        <f>B25</f>
        <v/>
      </c>
      <c r="D25" s="10">
        <f>C25*(1+Parameters!$B$8)</f>
        <v/>
      </c>
      <c r="E25" s="10">
        <f>D25*(1+Parameters!$B$8)</f>
        <v/>
      </c>
      <c r="F25" s="10">
        <f>E25*(1+Parameters!$B$8)</f>
        <v/>
      </c>
      <c r="G25" s="10">
        <f>F25*(1+Parameters!$B$8)</f>
        <v/>
      </c>
      <c r="H25" s="11">
        <f>SUM(C25:G25)</f>
        <v/>
      </c>
    </row>
    <row r="26">
      <c r="A26" s="8" t="inlineStr">
        <is>
          <t>TEAM TOTAL (5 with Head)</t>
        </is>
      </c>
      <c r="C26" s="9">
        <f>SUM(C21:C25)</f>
        <v/>
      </c>
      <c r="D26" s="9">
        <f>SUM(D21:D25)</f>
        <v/>
      </c>
      <c r="E26" s="9">
        <f>SUM(E21:E25)</f>
        <v/>
      </c>
      <c r="F26" s="9">
        <f>SUM(F21:F25)</f>
        <v/>
      </c>
      <c r="G26" s="9">
        <f>SUM(G21:G25)</f>
        <v/>
      </c>
      <c r="H26" s="9">
        <f>SUM(H21:H25)</f>
        <v/>
      </c>
    </row>
    <row r="27">
      <c r="A27" s="8" t="inlineStr">
        <is>
          <t>TEAM TOTAL (4 without Head)</t>
        </is>
      </c>
      <c r="C27" s="14">
        <f>SUM(C22:C25)</f>
        <v/>
      </c>
      <c r="D27" s="14">
        <f>SUM(D22:D25)</f>
        <v/>
      </c>
      <c r="E27" s="14">
        <f>SUM(E22:E25)</f>
        <v/>
      </c>
      <c r="F27" s="14">
        <f>SUM(F22:F25)</f>
        <v/>
      </c>
      <c r="G27" s="14">
        <f>SUM(G22:G25)</f>
        <v/>
      </c>
      <c r="H27" s="14">
        <f>SUM(H22:H25)</f>
        <v/>
      </c>
    </row>
    <row r="29">
      <c r="A29" s="6" t="inlineStr">
        <is>
          <t>YEAR TOTALS (WITH HEAD)</t>
        </is>
      </c>
    </row>
    <row r="30">
      <c r="A30" s="3" t="inlineStr">
        <is>
          <t>Component</t>
        </is>
      </c>
      <c r="B30" s="3" t="inlineStr">
        <is>
          <t>Y1</t>
        </is>
      </c>
      <c r="C30" s="3" t="inlineStr">
        <is>
          <t>Y2</t>
        </is>
      </c>
      <c r="D30" s="3" t="inlineStr">
        <is>
          <t>Y3</t>
        </is>
      </c>
      <c r="E30" s="3" t="inlineStr">
        <is>
          <t>Y4</t>
        </is>
      </c>
      <c r="F30" s="3" t="inlineStr">
        <is>
          <t>Y5</t>
        </is>
      </c>
      <c r="G30" s="3" t="inlineStr">
        <is>
          <t>5-Year Total</t>
        </is>
      </c>
    </row>
    <row r="31">
      <c r="A31" s="4" t="inlineStr">
        <is>
          <t>Implementation</t>
        </is>
      </c>
      <c r="B31" s="10">
        <f>B7</f>
        <v/>
      </c>
      <c r="C31" s="10" t="n">
        <v>0</v>
      </c>
      <c r="D31" s="10" t="n">
        <v>0</v>
      </c>
      <c r="E31" s="10" t="n">
        <v>0</v>
      </c>
      <c r="F31" s="10" t="n">
        <v>0</v>
      </c>
      <c r="G31" s="11">
        <f>SUM(B31:F31)</f>
        <v/>
      </c>
    </row>
    <row r="32">
      <c r="A32" s="4" t="inlineStr">
        <is>
          <t>Tools</t>
        </is>
      </c>
      <c r="B32" s="10">
        <f>C17</f>
        <v/>
      </c>
      <c r="C32" s="10">
        <f>D17</f>
        <v/>
      </c>
      <c r="D32" s="10">
        <f>E17</f>
        <v/>
      </c>
      <c r="E32" s="10">
        <f>F17</f>
        <v/>
      </c>
      <c r="F32" s="10">
        <f>G17</f>
        <v/>
      </c>
      <c r="G32" s="11">
        <f>H17</f>
        <v/>
      </c>
    </row>
    <row r="33">
      <c r="A33" s="4" t="inlineStr">
        <is>
          <t>Team (with Head)</t>
        </is>
      </c>
      <c r="B33" s="10">
        <f>C26</f>
        <v/>
      </c>
      <c r="C33" s="10">
        <f>D26</f>
        <v/>
      </c>
      <c r="D33" s="10">
        <f>E26</f>
        <v/>
      </c>
      <c r="E33" s="10">
        <f>F26</f>
        <v/>
      </c>
      <c r="F33" s="10">
        <f>G26</f>
        <v/>
      </c>
      <c r="G33" s="11">
        <f>H26</f>
        <v/>
      </c>
    </row>
    <row r="34">
      <c r="A34" s="8" t="inlineStr">
        <is>
          <t>TOTAL WITH HEAD (₹)</t>
        </is>
      </c>
      <c r="B34" s="9">
        <f>SUM(B31:B33)</f>
        <v/>
      </c>
      <c r="C34" s="9">
        <f>SUM(C31:C33)</f>
        <v/>
      </c>
      <c r="D34" s="9">
        <f>SUM(D31:D33)</f>
        <v/>
      </c>
      <c r="E34" s="9">
        <f>SUM(E31:E33)</f>
        <v/>
      </c>
      <c r="F34" s="9">
        <f>SUM(F31:F33)</f>
        <v/>
      </c>
      <c r="G34" s="9">
        <f>SUM(G31:G33)</f>
        <v/>
      </c>
    </row>
    <row r="35">
      <c r="A35" s="8" t="inlineStr">
        <is>
          <t>TOTAL WITH HEAD (Lakhs)</t>
        </is>
      </c>
      <c r="B35" s="15">
        <f>B34/100000</f>
        <v/>
      </c>
      <c r="C35" s="15">
        <f>C34/100000</f>
        <v/>
      </c>
      <c r="D35" s="15">
        <f>D34/100000</f>
        <v/>
      </c>
      <c r="E35" s="15">
        <f>E34/100000</f>
        <v/>
      </c>
      <c r="F35" s="15">
        <f>F34/100000</f>
        <v/>
      </c>
      <c r="G35" s="15">
        <f>G34/100000</f>
        <v/>
      </c>
    </row>
    <row r="37">
      <c r="A37" s="16" t="inlineStr">
        <is>
          <t>YEAR TOTALS (WITHOUT HEAD)</t>
        </is>
      </c>
    </row>
    <row r="38">
      <c r="A38" s="3" t="inlineStr">
        <is>
          <t>Component</t>
        </is>
      </c>
      <c r="B38" s="3" t="inlineStr">
        <is>
          <t>Y1</t>
        </is>
      </c>
      <c r="C38" s="3" t="inlineStr">
        <is>
          <t>Y2</t>
        </is>
      </c>
      <c r="D38" s="3" t="inlineStr">
        <is>
          <t>Y3</t>
        </is>
      </c>
      <c r="E38" s="3" t="inlineStr">
        <is>
          <t>Y4</t>
        </is>
      </c>
      <c r="F38" s="3" t="inlineStr">
        <is>
          <t>Y5</t>
        </is>
      </c>
      <c r="G38" s="3" t="inlineStr">
        <is>
          <t>5-Year Total</t>
        </is>
      </c>
    </row>
    <row r="39">
      <c r="A39" s="4" t="inlineStr">
        <is>
          <t>Implementation</t>
        </is>
      </c>
      <c r="B39" s="10">
        <f>B7</f>
        <v/>
      </c>
      <c r="C39" s="10" t="n">
        <v>0</v>
      </c>
      <c r="D39" s="10" t="n">
        <v>0</v>
      </c>
      <c r="E39" s="10" t="n">
        <v>0</v>
      </c>
      <c r="F39" s="10" t="n">
        <v>0</v>
      </c>
      <c r="G39" s="13">
        <f>SUM(B39:F39)</f>
        <v/>
      </c>
    </row>
    <row r="40">
      <c r="A40" s="4" t="inlineStr">
        <is>
          <t>Tools</t>
        </is>
      </c>
      <c r="B40" s="10">
        <f>C17</f>
        <v/>
      </c>
      <c r="C40" s="10">
        <f>D17</f>
        <v/>
      </c>
      <c r="D40" s="10">
        <f>E17</f>
        <v/>
      </c>
      <c r="E40" s="10">
        <f>F17</f>
        <v/>
      </c>
      <c r="F40" s="10">
        <f>G17</f>
        <v/>
      </c>
      <c r="G40" s="13">
        <f>H17</f>
        <v/>
      </c>
    </row>
    <row r="41">
      <c r="A41" s="4" t="inlineStr">
        <is>
          <t>Team (without Head)</t>
        </is>
      </c>
      <c r="B41" s="10">
        <f>C27</f>
        <v/>
      </c>
      <c r="C41" s="10">
        <f>D27</f>
        <v/>
      </c>
      <c r="D41" s="10">
        <f>E27</f>
        <v/>
      </c>
      <c r="E41" s="10">
        <f>F27</f>
        <v/>
      </c>
      <c r="F41" s="10">
        <f>G27</f>
        <v/>
      </c>
      <c r="G41" s="13">
        <f>H27</f>
        <v/>
      </c>
    </row>
    <row r="42">
      <c r="A42" s="8" t="inlineStr">
        <is>
          <t>TOTAL WITHOUT HEAD (₹)</t>
        </is>
      </c>
      <c r="B42" s="14">
        <f>SUM(B39:B41)</f>
        <v/>
      </c>
      <c r="C42" s="14">
        <f>SUM(C39:C41)</f>
        <v/>
      </c>
      <c r="D42" s="14">
        <f>SUM(D39:D41)</f>
        <v/>
      </c>
      <c r="E42" s="14">
        <f>SUM(E39:E41)</f>
        <v/>
      </c>
      <c r="F42" s="14">
        <f>SUM(F39:F41)</f>
        <v/>
      </c>
      <c r="G42" s="14">
        <f>SUM(G39:G41)</f>
        <v/>
      </c>
    </row>
    <row r="43">
      <c r="A43" s="8" t="inlineStr">
        <is>
          <t>TOTAL WITHOUT HEAD (Lakhs)</t>
        </is>
      </c>
      <c r="B43" s="12">
        <f>B42/100000</f>
        <v/>
      </c>
      <c r="C43" s="12">
        <f>C42/100000</f>
        <v/>
      </c>
      <c r="D43" s="12">
        <f>D42/100000</f>
        <v/>
      </c>
      <c r="E43" s="12">
        <f>E42/100000</f>
        <v/>
      </c>
      <c r="F43" s="12">
        <f>F42/100000</f>
        <v/>
      </c>
      <c r="G43" s="12">
        <f>G42/100000</f>
        <v/>
      </c>
    </row>
  </sheetData>
  <mergeCells count="5">
    <mergeCell ref="A9:H9"/>
    <mergeCell ref="A3:H3"/>
    <mergeCell ref="A29:H29"/>
    <mergeCell ref="A19:H19"/>
    <mergeCell ref="A37:H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HIGH COST MODEL - 5 YEAR PROJECTION</t>
        </is>
      </c>
    </row>
    <row r="3">
      <c r="A3" s="6" t="inlineStr">
        <is>
          <t>IMPLEMENTATION COSTS (ONE-TIME)</t>
        </is>
      </c>
    </row>
    <row r="4">
      <c r="A4" s="3" t="inlineStr">
        <is>
          <t>Cost Component</t>
        </is>
      </c>
      <c r="B4" s="3" t="inlineStr">
        <is>
          <t>Amount (₹)</t>
        </is>
      </c>
      <c r="C4" s="3" t="inlineStr"/>
      <c r="D4" s="3" t="inlineStr"/>
      <c r="E4" s="3" t="inlineStr"/>
      <c r="F4" s="3" t="inlineStr"/>
      <c r="G4" s="3" t="inlineStr"/>
      <c r="H4" s="3" t="inlineStr">
        <is>
          <t>Notes</t>
        </is>
      </c>
    </row>
    <row r="5">
      <c r="A5" s="4" t="inlineStr">
        <is>
          <t>Int. resources</t>
        </is>
      </c>
      <c r="B5" s="7" t="n">
        <v>1000000</v>
      </c>
      <c r="H5" s="4" t="inlineStr">
        <is>
          <t>Internal team setup</t>
        </is>
      </c>
    </row>
    <row r="6">
      <c r="A6" s="4" t="inlineStr">
        <is>
          <t>Ext. resources (SI Partner)</t>
        </is>
      </c>
      <c r="B6" s="7" t="n">
        <v>4500000</v>
      </c>
      <c r="H6" s="4" t="inlineStr">
        <is>
          <t>Consultant/Implementation</t>
        </is>
      </c>
    </row>
    <row r="7">
      <c r="A7" s="8" t="inlineStr">
        <is>
          <t>IMPLEMENTATION TOTAL</t>
        </is>
      </c>
      <c r="B7" s="9">
        <f>B5+B6</f>
        <v/>
      </c>
    </row>
    <row r="9">
      <c r="A9" s="6" t="inlineStr">
        <is>
          <t>TOOL COSTS (RECURRING)</t>
        </is>
      </c>
    </row>
    <row r="10">
      <c r="A10" s="3" t="inlineStr">
        <is>
          <t>Cost Component</t>
        </is>
      </c>
      <c r="B10" s="3" t="inlineStr">
        <is>
          <t>Base (Y1)</t>
        </is>
      </c>
      <c r="C10" s="3" t="inlineStr">
        <is>
          <t>Y1</t>
        </is>
      </c>
      <c r="D10" s="3" t="inlineStr">
        <is>
          <t>Y2</t>
        </is>
      </c>
      <c r="E10" s="3" t="inlineStr">
        <is>
          <t>Y3</t>
        </is>
      </c>
      <c r="F10" s="3" t="inlineStr">
        <is>
          <t>Y4</t>
        </is>
      </c>
      <c r="G10" s="3" t="inlineStr">
        <is>
          <t>Y5</t>
        </is>
      </c>
      <c r="H10" s="3" t="inlineStr">
        <is>
          <t>5-Year Total</t>
        </is>
      </c>
    </row>
    <row r="11">
      <c r="A11" s="4" t="inlineStr">
        <is>
          <t>CDP Subscription</t>
        </is>
      </c>
      <c r="B11" s="7" t="n">
        <v>1800000</v>
      </c>
      <c r="C11" s="10">
        <f>B11</f>
        <v/>
      </c>
      <c r="D11" s="10">
        <f>C11*(1+Parameters!$B$5)</f>
        <v/>
      </c>
      <c r="E11" s="10">
        <f>D11*(1+Parameters!$B$5)</f>
        <v/>
      </c>
      <c r="F11" s="10">
        <f>E11*(1+Parameters!$B$5)</f>
        <v/>
      </c>
      <c r="G11" s="10">
        <f>F11*(1+Parameters!$B$5)</f>
        <v/>
      </c>
      <c r="H11" s="11">
        <f>SUM(C11:G11)</f>
        <v/>
      </c>
    </row>
    <row r="12">
      <c r="A12" s="4" t="inlineStr">
        <is>
          <t>CMP Subscription</t>
        </is>
      </c>
      <c r="B12" s="7" t="n">
        <v>600000</v>
      </c>
      <c r="C12" s="10">
        <f>B12</f>
        <v/>
      </c>
      <c r="D12" s="10">
        <f>C12*(1+Parameters!$B$5)</f>
        <v/>
      </c>
      <c r="E12" s="10">
        <f>D12*(1+Parameters!$B$5)</f>
        <v/>
      </c>
      <c r="F12" s="10">
        <f>E12*(1+Parameters!$B$5)</f>
        <v/>
      </c>
      <c r="G12" s="10">
        <f>F12*(1+Parameters!$B$5)</f>
        <v/>
      </c>
      <c r="H12" s="11">
        <f>SUM(C12:G12)</f>
        <v/>
      </c>
    </row>
    <row r="13">
      <c r="A13" s="4" t="inlineStr">
        <is>
          <t>Data Lake / Storage</t>
        </is>
      </c>
      <c r="B13" s="7" t="n">
        <v>300000</v>
      </c>
      <c r="C13" s="10">
        <f>B13</f>
        <v/>
      </c>
      <c r="D13" s="10">
        <f>C13*(1+Parameters!$B$6)</f>
        <v/>
      </c>
      <c r="E13" s="10">
        <f>D13*(1+Parameters!$B$6)</f>
        <v/>
      </c>
      <c r="F13" s="10">
        <f>E13*(1+Parameters!$B$6)</f>
        <v/>
      </c>
      <c r="G13" s="10">
        <f>F13*(1+Parameters!$B$6)</f>
        <v/>
      </c>
      <c r="H13" s="11">
        <f>SUM(C13:G13)</f>
        <v/>
      </c>
    </row>
    <row r="14">
      <c r="A14" s="4" t="inlineStr">
        <is>
          <t>Analytics Workbench</t>
        </is>
      </c>
      <c r="B14" s="7" t="n">
        <v>400000</v>
      </c>
      <c r="C14" s="10">
        <f>B14</f>
        <v/>
      </c>
      <c r="D14" s="10">
        <f>C14*(1+Parameters!$B$5)</f>
        <v/>
      </c>
      <c r="E14" s="10">
        <f>D14*(1+Parameters!$B$5)</f>
        <v/>
      </c>
      <c r="F14" s="10">
        <f>E14*(1+Parameters!$B$5)</f>
        <v/>
      </c>
      <c r="G14" s="10">
        <f>F14*(1+Parameters!$B$5)</f>
        <v/>
      </c>
      <c r="H14" s="11">
        <f>SUM(C14:G14)</f>
        <v/>
      </c>
    </row>
    <row r="15">
      <c r="A15" s="4" t="inlineStr">
        <is>
          <t>Personalization Engine</t>
        </is>
      </c>
      <c r="B15" s="7" t="n">
        <v>300000</v>
      </c>
      <c r="C15" s="10">
        <f>B15</f>
        <v/>
      </c>
      <c r="D15" s="10">
        <f>C15*(1+Parameters!$B$5)</f>
        <v/>
      </c>
      <c r="E15" s="10">
        <f>D15*(1+Parameters!$B$5)</f>
        <v/>
      </c>
      <c r="F15" s="10">
        <f>E15*(1+Parameters!$B$5)</f>
        <v/>
      </c>
      <c r="G15" s="10">
        <f>F15*(1+Parameters!$B$5)</f>
        <v/>
      </c>
      <c r="H15" s="11">
        <f>SUM(C15:G15)</f>
        <v/>
      </c>
    </row>
    <row r="16">
      <c r="A16" s="4" t="inlineStr">
        <is>
          <t>CMS (Enterprise)</t>
        </is>
      </c>
      <c r="B16" s="7" t="n">
        <v>400000</v>
      </c>
      <c r="C16" s="10">
        <f>B16</f>
        <v/>
      </c>
      <c r="D16" s="10">
        <f>C16*(1+Parameters!$B$5)</f>
        <v/>
      </c>
      <c r="E16" s="10">
        <f>D16*(1+Parameters!$B$5)</f>
        <v/>
      </c>
      <c r="F16" s="10">
        <f>E16*(1+Parameters!$B$5)</f>
        <v/>
      </c>
      <c r="G16" s="10">
        <f>F16*(1+Parameters!$B$5)</f>
        <v/>
      </c>
      <c r="H16" s="11">
        <f>SUM(C16:G16)</f>
        <v/>
      </c>
    </row>
    <row r="17">
      <c r="A17" s="4" t="inlineStr">
        <is>
          <t>MMP (Enterprise)</t>
        </is>
      </c>
      <c r="B17" s="7" t="n">
        <v>400000</v>
      </c>
      <c r="C17" s="10">
        <f>B17</f>
        <v/>
      </c>
      <c r="D17" s="10">
        <f>C17*(1+Parameters!$B$7)</f>
        <v/>
      </c>
      <c r="E17" s="10">
        <f>D17*(1+Parameters!$B$7)</f>
        <v/>
      </c>
      <c r="F17" s="10">
        <f>E17*(1+Parameters!$B$7)</f>
        <v/>
      </c>
      <c r="G17" s="10">
        <f>F17*(1+Parameters!$B$7)</f>
        <v/>
      </c>
      <c r="H17" s="11">
        <f>SUM(C17:G17)</f>
        <v/>
      </c>
    </row>
    <row r="18">
      <c r="A18" s="4" t="inlineStr">
        <is>
          <t>BI License (10 users)</t>
        </is>
      </c>
      <c r="B18" s="7" t="n">
        <v>240000</v>
      </c>
      <c r="C18" s="10">
        <f>B18</f>
        <v/>
      </c>
      <c r="D18" s="10">
        <f>C18*(1+Parameters!$B$5)</f>
        <v/>
      </c>
      <c r="E18" s="10">
        <f>D18*(1+Parameters!$B$5)</f>
        <v/>
      </c>
      <c r="F18" s="10">
        <f>E18*(1+Parameters!$B$5)</f>
        <v/>
      </c>
      <c r="G18" s="10">
        <f>F18*(1+Parameters!$B$5)</f>
        <v/>
      </c>
      <c r="H18" s="11">
        <f>SUM(C18:G18)</f>
        <v/>
      </c>
    </row>
    <row r="19">
      <c r="A19" s="4" t="inlineStr">
        <is>
          <t>Maintenance &amp; Support</t>
        </is>
      </c>
      <c r="B19" s="7" t="n">
        <v>200000</v>
      </c>
      <c r="C19" s="10">
        <f>B19</f>
        <v/>
      </c>
      <c r="D19" s="10">
        <f>C19*(1+Parameters!$B$9)</f>
        <v/>
      </c>
      <c r="E19" s="10">
        <f>D19*(1+Parameters!$B$9)</f>
        <v/>
      </c>
      <c r="F19" s="10">
        <f>E19*(1+Parameters!$B$9)</f>
        <v/>
      </c>
      <c r="G19" s="10">
        <f>F19*(1+Parameters!$B$9)</f>
        <v/>
      </c>
      <c r="H19" s="11">
        <f>SUM(C19:G19)</f>
        <v/>
      </c>
    </row>
    <row r="20">
      <c r="A20" s="8" t="inlineStr">
        <is>
          <t>TOOLS TOTAL</t>
        </is>
      </c>
      <c r="C20" s="9">
        <f>SUM(C11:C19)</f>
        <v/>
      </c>
      <c r="D20" s="9">
        <f>SUM(D11:D19)</f>
        <v/>
      </c>
      <c r="E20" s="9">
        <f>SUM(E11:E19)</f>
        <v/>
      </c>
      <c r="F20" s="9">
        <f>SUM(F11:F19)</f>
        <v/>
      </c>
      <c r="G20" s="9">
        <f>SUM(G11:G19)</f>
        <v/>
      </c>
      <c r="H20" s="9">
        <f>SUM(H11:H19)</f>
        <v/>
      </c>
    </row>
    <row r="22">
      <c r="A22" s="6" t="inlineStr">
        <is>
          <t>TEAM COSTS (Head of Martech is OPTIONAL)</t>
        </is>
      </c>
    </row>
    <row r="23">
      <c r="A23" s="3" t="inlineStr">
        <is>
          <t>Role</t>
        </is>
      </c>
      <c r="B23" s="3" t="inlineStr">
        <is>
          <t>Base CTC (Y1)</t>
        </is>
      </c>
      <c r="C23" s="3" t="inlineStr">
        <is>
          <t>Y1</t>
        </is>
      </c>
      <c r="D23" s="3" t="inlineStr">
        <is>
          <t>Y2</t>
        </is>
      </c>
      <c r="E23" s="3" t="inlineStr">
        <is>
          <t>Y3</t>
        </is>
      </c>
      <c r="F23" s="3" t="inlineStr">
        <is>
          <t>Y4</t>
        </is>
      </c>
      <c r="G23" s="3" t="inlineStr">
        <is>
          <t>Y5</t>
        </is>
      </c>
      <c r="H23" s="3" t="inlineStr">
        <is>
          <t>5-Year Total</t>
        </is>
      </c>
    </row>
    <row r="24">
      <c r="A24" s="4" t="inlineStr">
        <is>
          <t>Head of Martech (OPTIONAL)</t>
        </is>
      </c>
      <c r="B24" s="13" t="n">
        <v>3200000</v>
      </c>
      <c r="C24" s="10">
        <f>B24</f>
        <v/>
      </c>
      <c r="D24" s="10">
        <f>C24*(1+Parameters!$B$8)</f>
        <v/>
      </c>
      <c r="E24" s="10">
        <f>D24*(1+Parameters!$B$8)</f>
        <v/>
      </c>
      <c r="F24" s="10">
        <f>E24*(1+Parameters!$B$8)</f>
        <v/>
      </c>
      <c r="G24" s="10">
        <f>F24*(1+Parameters!$B$8)</f>
        <v/>
      </c>
      <c r="H24" s="11">
        <f>SUM(C24:G24)</f>
        <v/>
      </c>
    </row>
    <row r="25">
      <c r="A25" s="4" t="inlineStr">
        <is>
          <t>Automation Lead (1)</t>
        </is>
      </c>
      <c r="B25" s="7" t="n">
        <v>1600000</v>
      </c>
      <c r="C25" s="10">
        <f>B25</f>
        <v/>
      </c>
      <c r="D25" s="10">
        <f>C25*(1+Parameters!$B$8)</f>
        <v/>
      </c>
      <c r="E25" s="10">
        <f>D25*(1+Parameters!$B$8)</f>
        <v/>
      </c>
      <c r="F25" s="10">
        <f>E25*(1+Parameters!$B$8)</f>
        <v/>
      </c>
      <c r="G25" s="10">
        <f>F25*(1+Parameters!$B$8)</f>
        <v/>
      </c>
      <c r="H25" s="11">
        <f>SUM(C25:G25)</f>
        <v/>
      </c>
    </row>
    <row r="26">
      <c r="A26" s="4" t="inlineStr">
        <is>
          <t>Sr. CDP Analyst (1)</t>
        </is>
      </c>
      <c r="B26" s="7" t="n">
        <v>1400000</v>
      </c>
      <c r="C26" s="10">
        <f>B26</f>
        <v/>
      </c>
      <c r="D26" s="10">
        <f>C26*(1+Parameters!$B$8)</f>
        <v/>
      </c>
      <c r="E26" s="10">
        <f>D26*(1+Parameters!$B$8)</f>
        <v/>
      </c>
      <c r="F26" s="10">
        <f>E26*(1+Parameters!$B$8)</f>
        <v/>
      </c>
      <c r="G26" s="10">
        <f>F26*(1+Parameters!$B$8)</f>
        <v/>
      </c>
      <c r="H26" s="11">
        <f>SUM(C26:G26)</f>
        <v/>
      </c>
    </row>
    <row r="27">
      <c r="A27" s="4" t="inlineStr">
        <is>
          <t>Jr. Data Analyst (1)</t>
        </is>
      </c>
      <c r="B27" s="7" t="n">
        <v>700000</v>
      </c>
      <c r="C27" s="10">
        <f>B27</f>
        <v/>
      </c>
      <c r="D27" s="10">
        <f>C27*(1+Parameters!$B$8)</f>
        <v/>
      </c>
      <c r="E27" s="10">
        <f>D27*(1+Parameters!$B$8)</f>
        <v/>
      </c>
      <c r="F27" s="10">
        <f>E27*(1+Parameters!$B$8)</f>
        <v/>
      </c>
      <c r="G27" s="10">
        <f>F27*(1+Parameters!$B$8)</f>
        <v/>
      </c>
      <c r="H27" s="11">
        <f>SUM(C27:G27)</f>
        <v/>
      </c>
    </row>
    <row r="28">
      <c r="A28" s="4" t="inlineStr">
        <is>
          <t>Content Specialist (1)</t>
        </is>
      </c>
      <c r="B28" s="7" t="n">
        <v>800000</v>
      </c>
      <c r="C28" s="10">
        <f>B28</f>
        <v/>
      </c>
      <c r="D28" s="10">
        <f>C28*(1+Parameters!$B$8)</f>
        <v/>
      </c>
      <c r="E28" s="10">
        <f>D28*(1+Parameters!$B$8)</f>
        <v/>
      </c>
      <c r="F28" s="10">
        <f>E28*(1+Parameters!$B$8)</f>
        <v/>
      </c>
      <c r="G28" s="10">
        <f>F28*(1+Parameters!$B$8)</f>
        <v/>
      </c>
      <c r="H28" s="11">
        <f>SUM(C28:G28)</f>
        <v/>
      </c>
    </row>
    <row r="29">
      <c r="A29" s="4" t="inlineStr">
        <is>
          <t>Executive (1)</t>
        </is>
      </c>
      <c r="B29" s="7" t="n">
        <v>500000</v>
      </c>
      <c r="C29" s="10">
        <f>B29</f>
        <v/>
      </c>
      <c r="D29" s="10">
        <f>C29*(1+Parameters!$B$8)</f>
        <v/>
      </c>
      <c r="E29" s="10">
        <f>D29*(1+Parameters!$B$8)</f>
        <v/>
      </c>
      <c r="F29" s="10">
        <f>E29*(1+Parameters!$B$8)</f>
        <v/>
      </c>
      <c r="G29" s="10">
        <f>F29*(1+Parameters!$B$8)</f>
        <v/>
      </c>
      <c r="H29" s="11">
        <f>SUM(C29:G29)</f>
        <v/>
      </c>
    </row>
    <row r="30">
      <c r="A30" s="8" t="inlineStr">
        <is>
          <t>TEAM TOTAL (6 with Head)</t>
        </is>
      </c>
      <c r="C30" s="9">
        <f>SUM(C24:C29)</f>
        <v/>
      </c>
      <c r="D30" s="9">
        <f>SUM(D24:D29)</f>
        <v/>
      </c>
      <c r="E30" s="9">
        <f>SUM(E24:E29)</f>
        <v/>
      </c>
      <c r="F30" s="9">
        <f>SUM(F24:F29)</f>
        <v/>
      </c>
      <c r="G30" s="9">
        <f>SUM(G24:G29)</f>
        <v/>
      </c>
      <c r="H30" s="9">
        <f>SUM(H24:H29)</f>
        <v/>
      </c>
    </row>
    <row r="31">
      <c r="A31" s="8" t="inlineStr">
        <is>
          <t>TEAM TOTAL (5 without Head)</t>
        </is>
      </c>
      <c r="C31" s="14">
        <f>SUM(C25:C29)</f>
        <v/>
      </c>
      <c r="D31" s="14">
        <f>SUM(D25:D29)</f>
        <v/>
      </c>
      <c r="E31" s="14">
        <f>SUM(E25:E29)</f>
        <v/>
      </c>
      <c r="F31" s="14">
        <f>SUM(F25:F29)</f>
        <v/>
      </c>
      <c r="G31" s="14">
        <f>SUM(G25:G29)</f>
        <v/>
      </c>
      <c r="H31" s="14">
        <f>SUM(H25:H29)</f>
        <v/>
      </c>
    </row>
    <row r="33">
      <c r="A33" s="6" t="inlineStr">
        <is>
          <t>YEAR TOTALS (WITH HEAD)</t>
        </is>
      </c>
    </row>
    <row r="34">
      <c r="A34" s="3" t="inlineStr">
        <is>
          <t>Component</t>
        </is>
      </c>
      <c r="B34" s="3" t="inlineStr">
        <is>
          <t>Y1</t>
        </is>
      </c>
      <c r="C34" s="3" t="inlineStr">
        <is>
          <t>Y2</t>
        </is>
      </c>
      <c r="D34" s="3" t="inlineStr">
        <is>
          <t>Y3</t>
        </is>
      </c>
      <c r="E34" s="3" t="inlineStr">
        <is>
          <t>Y4</t>
        </is>
      </c>
      <c r="F34" s="3" t="inlineStr">
        <is>
          <t>Y5</t>
        </is>
      </c>
      <c r="G34" s="3" t="inlineStr">
        <is>
          <t>5-Year Total</t>
        </is>
      </c>
    </row>
    <row r="35">
      <c r="A35" s="4" t="inlineStr">
        <is>
          <t>Implementation</t>
        </is>
      </c>
      <c r="B35" s="10">
        <f>B7</f>
        <v/>
      </c>
      <c r="C35" s="10" t="n">
        <v>0</v>
      </c>
      <c r="D35" s="10" t="n">
        <v>0</v>
      </c>
      <c r="E35" s="10" t="n">
        <v>0</v>
      </c>
      <c r="F35" s="10" t="n">
        <v>0</v>
      </c>
      <c r="G35" s="11">
        <f>SUM(B35:F35)</f>
        <v/>
      </c>
    </row>
    <row r="36">
      <c r="A36" s="4" t="inlineStr">
        <is>
          <t>Tools</t>
        </is>
      </c>
      <c r="B36" s="10">
        <f>C20</f>
        <v/>
      </c>
      <c r="C36" s="10">
        <f>D20</f>
        <v/>
      </c>
      <c r="D36" s="10">
        <f>E20</f>
        <v/>
      </c>
      <c r="E36" s="10">
        <f>F20</f>
        <v/>
      </c>
      <c r="F36" s="10">
        <f>G20</f>
        <v/>
      </c>
      <c r="G36" s="11">
        <f>H20</f>
        <v/>
      </c>
    </row>
    <row r="37">
      <c r="A37" s="4" t="inlineStr">
        <is>
          <t>Team (with Head)</t>
        </is>
      </c>
      <c r="B37" s="10">
        <f>C30</f>
        <v/>
      </c>
      <c r="C37" s="10">
        <f>D30</f>
        <v/>
      </c>
      <c r="D37" s="10">
        <f>E30</f>
        <v/>
      </c>
      <c r="E37" s="10">
        <f>F30</f>
        <v/>
      </c>
      <c r="F37" s="10">
        <f>G30</f>
        <v/>
      </c>
      <c r="G37" s="11">
        <f>H30</f>
        <v/>
      </c>
    </row>
    <row r="38">
      <c r="A38" s="8" t="inlineStr">
        <is>
          <t>TOTAL WITH HEAD (₹)</t>
        </is>
      </c>
      <c r="B38" s="9">
        <f>SUM(B35:B37)</f>
        <v/>
      </c>
      <c r="C38" s="9">
        <f>SUM(C35:C37)</f>
        <v/>
      </c>
      <c r="D38" s="9">
        <f>SUM(D35:D37)</f>
        <v/>
      </c>
      <c r="E38" s="9">
        <f>SUM(E35:E37)</f>
        <v/>
      </c>
      <c r="F38" s="9">
        <f>SUM(F35:F37)</f>
        <v/>
      </c>
      <c r="G38" s="9">
        <f>SUM(G35:G37)</f>
        <v/>
      </c>
    </row>
    <row r="39">
      <c r="A39" s="8" t="inlineStr">
        <is>
          <t>TOTAL WITH HEAD (Lakhs)</t>
        </is>
      </c>
      <c r="B39" s="15">
        <f>B38/100000</f>
        <v/>
      </c>
      <c r="C39" s="15">
        <f>C38/100000</f>
        <v/>
      </c>
      <c r="D39" s="15">
        <f>D38/100000</f>
        <v/>
      </c>
      <c r="E39" s="15">
        <f>E38/100000</f>
        <v/>
      </c>
      <c r="F39" s="15">
        <f>F38/100000</f>
        <v/>
      </c>
      <c r="G39" s="15">
        <f>G38/100000</f>
        <v/>
      </c>
    </row>
    <row r="41">
      <c r="A41" s="16" t="inlineStr">
        <is>
          <t>YEAR TOTALS (WITHOUT HEAD)</t>
        </is>
      </c>
    </row>
    <row r="42">
      <c r="A42" s="3" t="inlineStr">
        <is>
          <t>Component</t>
        </is>
      </c>
      <c r="B42" s="3" t="inlineStr">
        <is>
          <t>Y1</t>
        </is>
      </c>
      <c r="C42" s="3" t="inlineStr">
        <is>
          <t>Y2</t>
        </is>
      </c>
      <c r="D42" s="3" t="inlineStr">
        <is>
          <t>Y3</t>
        </is>
      </c>
      <c r="E42" s="3" t="inlineStr">
        <is>
          <t>Y4</t>
        </is>
      </c>
      <c r="F42" s="3" t="inlineStr">
        <is>
          <t>Y5</t>
        </is>
      </c>
      <c r="G42" s="3" t="inlineStr">
        <is>
          <t>5-Year Total</t>
        </is>
      </c>
    </row>
    <row r="43">
      <c r="A43" s="4" t="inlineStr">
        <is>
          <t>Implementation</t>
        </is>
      </c>
      <c r="B43" s="10">
        <f>B7</f>
        <v/>
      </c>
      <c r="C43" s="10" t="n">
        <v>0</v>
      </c>
      <c r="D43" s="10" t="n">
        <v>0</v>
      </c>
      <c r="E43" s="10" t="n">
        <v>0</v>
      </c>
      <c r="F43" s="10" t="n">
        <v>0</v>
      </c>
      <c r="G43" s="13">
        <f>SUM(B43:F43)</f>
        <v/>
      </c>
    </row>
    <row r="44">
      <c r="A44" s="4" t="inlineStr">
        <is>
          <t>Tools</t>
        </is>
      </c>
      <c r="B44" s="10">
        <f>C20</f>
        <v/>
      </c>
      <c r="C44" s="10">
        <f>D20</f>
        <v/>
      </c>
      <c r="D44" s="10">
        <f>E20</f>
        <v/>
      </c>
      <c r="E44" s="10">
        <f>F20</f>
        <v/>
      </c>
      <c r="F44" s="10">
        <f>G20</f>
        <v/>
      </c>
      <c r="G44" s="13">
        <f>H20</f>
        <v/>
      </c>
    </row>
    <row r="45">
      <c r="A45" s="4" t="inlineStr">
        <is>
          <t>Team (without Head)</t>
        </is>
      </c>
      <c r="B45" s="10">
        <f>C31</f>
        <v/>
      </c>
      <c r="C45" s="10">
        <f>D31</f>
        <v/>
      </c>
      <c r="D45" s="10">
        <f>E31</f>
        <v/>
      </c>
      <c r="E45" s="10">
        <f>F31</f>
        <v/>
      </c>
      <c r="F45" s="10">
        <f>G31</f>
        <v/>
      </c>
      <c r="G45" s="13">
        <f>H31</f>
        <v/>
      </c>
    </row>
    <row r="46">
      <c r="A46" s="8" t="inlineStr">
        <is>
          <t>TOTAL WITHOUT HEAD (₹)</t>
        </is>
      </c>
      <c r="B46" s="14">
        <f>SUM(B43:B45)</f>
        <v/>
      </c>
      <c r="C46" s="14">
        <f>SUM(C43:C45)</f>
        <v/>
      </c>
      <c r="D46" s="14">
        <f>SUM(D43:D45)</f>
        <v/>
      </c>
      <c r="E46" s="14">
        <f>SUM(E43:E45)</f>
        <v/>
      </c>
      <c r="F46" s="14">
        <f>SUM(F43:F45)</f>
        <v/>
      </c>
      <c r="G46" s="14">
        <f>SUM(G43:G45)</f>
        <v/>
      </c>
    </row>
    <row r="47">
      <c r="A47" s="8" t="inlineStr">
        <is>
          <t>TOTAL WITHOUT HEAD (Lakhs)</t>
        </is>
      </c>
      <c r="B47" s="12">
        <f>B46/100000</f>
        <v/>
      </c>
      <c r="C47" s="12">
        <f>C46/100000</f>
        <v/>
      </c>
      <c r="D47" s="12">
        <f>D46/100000</f>
        <v/>
      </c>
      <c r="E47" s="12">
        <f>E46/100000</f>
        <v/>
      </c>
      <c r="F47" s="12">
        <f>F46/100000</f>
        <v/>
      </c>
      <c r="G47" s="12">
        <f>G46/100000</f>
        <v/>
      </c>
    </row>
  </sheetData>
  <mergeCells count="5">
    <mergeCell ref="A9:H9"/>
    <mergeCell ref="A3:H3"/>
    <mergeCell ref="A41:H41"/>
    <mergeCell ref="A33:H33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MARTECH COST MODEL - SUMMARY COMPARISON</t>
        </is>
      </c>
    </row>
    <row r="3">
      <c r="A3" s="6" t="inlineStr">
        <is>
          <t>5-YEAR TCO COMPARISON (ALL MODELS)</t>
        </is>
      </c>
    </row>
    <row r="4">
      <c r="A4" s="3" t="inlineStr">
        <is>
          <t>Model</t>
        </is>
      </c>
      <c r="B4" s="3" t="inlineStr">
        <is>
          <t>Y1</t>
        </is>
      </c>
      <c r="C4" s="3" t="inlineStr">
        <is>
          <t>Y2</t>
        </is>
      </c>
      <c r="D4" s="3" t="inlineStr">
        <is>
          <t>Y3</t>
        </is>
      </c>
      <c r="E4" s="3" t="inlineStr">
        <is>
          <t>Y4</t>
        </is>
      </c>
      <c r="F4" s="3" t="inlineStr">
        <is>
          <t>Y5</t>
        </is>
      </c>
      <c r="G4" s="3" t="inlineStr">
        <is>
          <t>5-Year TCO</t>
        </is>
      </c>
      <c r="H4" s="3" t="inlineStr">
        <is>
          <t>TCO (Cr)</t>
        </is>
      </c>
    </row>
    <row r="5">
      <c r="A5" s="4" t="inlineStr">
        <is>
          <t>LOW (3 team)</t>
        </is>
      </c>
      <c r="B5" s="10">
        <f>'LOW Model'!B31</f>
        <v/>
      </c>
      <c r="C5" s="10">
        <f>'LOW Model'!C31</f>
        <v/>
      </c>
      <c r="D5" s="10">
        <f>'LOW Model'!D31</f>
        <v/>
      </c>
      <c r="E5" s="10">
        <f>'LOW Model'!E31</f>
        <v/>
      </c>
      <c r="F5" s="10">
        <f>'LOW Model'!F31</f>
        <v/>
      </c>
      <c r="G5" s="11">
        <f>'LOW Model'!G31</f>
        <v/>
      </c>
      <c r="H5" s="17">
        <f>G5/10000000</f>
        <v/>
      </c>
    </row>
    <row r="6">
      <c r="A6" s="4" t="inlineStr">
        <is>
          <t>MID with Head (5 team)</t>
        </is>
      </c>
      <c r="B6" s="10">
        <f>'MID Model'!B34</f>
        <v/>
      </c>
      <c r="C6" s="10">
        <f>'MID Model'!C34</f>
        <v/>
      </c>
      <c r="D6" s="10">
        <f>'MID Model'!D34</f>
        <v/>
      </c>
      <c r="E6" s="10">
        <f>'MID Model'!E34</f>
        <v/>
      </c>
      <c r="F6" s="10">
        <f>'MID Model'!F34</f>
        <v/>
      </c>
      <c r="G6" s="11">
        <f>'MID Model'!G34</f>
        <v/>
      </c>
      <c r="H6" s="17">
        <f>G6/10000000</f>
        <v/>
      </c>
    </row>
    <row r="7">
      <c r="A7" s="4" t="inlineStr">
        <is>
          <t>MID without Head (4 team)</t>
        </is>
      </c>
      <c r="B7" s="10">
        <f>'MID Model'!B42</f>
        <v/>
      </c>
      <c r="C7" s="10">
        <f>'MID Model'!C42</f>
        <v/>
      </c>
      <c r="D7" s="10">
        <f>'MID Model'!D42</f>
        <v/>
      </c>
      <c r="E7" s="10">
        <f>'MID Model'!E42</f>
        <v/>
      </c>
      <c r="F7" s="10">
        <f>'MID Model'!F42</f>
        <v/>
      </c>
      <c r="G7" s="13">
        <f>'MID Model'!G42</f>
        <v/>
      </c>
      <c r="H7" s="18">
        <f>G7/10000000</f>
        <v/>
      </c>
    </row>
    <row r="8">
      <c r="A8" s="4" t="inlineStr">
        <is>
          <t>HIGH with Head (6 team)</t>
        </is>
      </c>
      <c r="B8" s="10">
        <f>'HIGH Model'!B38</f>
        <v/>
      </c>
      <c r="C8" s="10">
        <f>'HIGH Model'!C38</f>
        <v/>
      </c>
      <c r="D8" s="10">
        <f>'HIGH Model'!D38</f>
        <v/>
      </c>
      <c r="E8" s="10">
        <f>'HIGH Model'!E38</f>
        <v/>
      </c>
      <c r="F8" s="10">
        <f>'HIGH Model'!F38</f>
        <v/>
      </c>
      <c r="G8" s="11">
        <f>'HIGH Model'!G38</f>
        <v/>
      </c>
      <c r="H8" s="17">
        <f>G8/10000000</f>
        <v/>
      </c>
    </row>
    <row r="9">
      <c r="A9" s="4" t="inlineStr">
        <is>
          <t>HIGH without Head (5 team)</t>
        </is>
      </c>
      <c r="B9" s="10">
        <f>'HIGH Model'!B46</f>
        <v/>
      </c>
      <c r="C9" s="10">
        <f>'HIGH Model'!C46</f>
        <v/>
      </c>
      <c r="D9" s="10">
        <f>'HIGH Model'!D46</f>
        <v/>
      </c>
      <c r="E9" s="10">
        <f>'HIGH Model'!E46</f>
        <v/>
      </c>
      <c r="F9" s="10">
        <f>'HIGH Model'!F46</f>
        <v/>
      </c>
      <c r="G9" s="13">
        <f>'HIGH Model'!G46</f>
        <v/>
      </c>
      <c r="H9" s="18">
        <f>G9/10000000</f>
        <v/>
      </c>
    </row>
    <row r="12">
      <c r="A12" s="16" t="inlineStr">
        <is>
          <t>SAVINGS BY REMOVING HEAD OF MARTECH</t>
        </is>
      </c>
    </row>
    <row r="13">
      <c r="A13" s="3" t="inlineStr">
        <is>
          <t>Model</t>
        </is>
      </c>
      <c r="B13" s="3" t="inlineStr">
        <is>
          <t>5-Year Savings (₹)</t>
        </is>
      </c>
      <c r="C13" s="3" t="inlineStr">
        <is>
          <t>Savings (Lakhs)</t>
        </is>
      </c>
    </row>
    <row r="14">
      <c r="A14" s="4" t="inlineStr">
        <is>
          <t>MID Model</t>
        </is>
      </c>
      <c r="B14" s="10">
        <f>G6-G7</f>
        <v/>
      </c>
      <c r="C14" s="18">
        <f>B14/100000</f>
        <v/>
      </c>
    </row>
    <row r="15">
      <c r="A15" s="4" t="inlineStr">
        <is>
          <t>HIGH Model</t>
        </is>
      </c>
      <c r="B15" s="10">
        <f>G8-G9</f>
        <v/>
      </c>
      <c r="C15" s="18">
        <f>B15/100000</f>
        <v/>
      </c>
    </row>
  </sheetData>
  <mergeCells count="2">
    <mergeCell ref="A12:D1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2026-01-08T15:10:48Z</dcterms:created>
  <dcterms:modified xsi:type="dcterms:W3CDTF">2026-01-08T15:10:48Z</dcterms:modified>
</cp:coreProperties>
</file>